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jajbroking-my.sharepoint.com/personal/siddhant_sawant_bajajbroking_in/Documents/"/>
    </mc:Choice>
  </mc:AlternateContent>
  <xr:revisionPtr revIDLastSave="87" documentId="8_{B0CD8669-9272-4ACC-B102-8E0D1CAC65E1}" xr6:coauthVersionLast="47" xr6:coauthVersionMax="47" xr10:uidLastSave="{470C07C4-9A64-44CF-B858-FB417C1A4E1D}"/>
  <bookViews>
    <workbookView xWindow="-110" yWindow="-110" windowWidth="19420" windowHeight="11500" activeTab="1" xr2:uid="{9699F740-2B94-447D-9E4B-153762A7606C}"/>
  </bookViews>
  <sheets>
    <sheet name="Broking data" sheetId="1" r:id="rId1"/>
    <sheet name="MF &amp; SIF Data" sheetId="5" r:id="rId2"/>
    <sheet name="NSE active client data" sheetId="4" r:id="rId3"/>
    <sheet name="PMS" sheetId="6" r:id="rId4"/>
    <sheet name="Sheet2" sheetId="2" state="hidden" r:id="rId5"/>
  </sheets>
  <externalReferences>
    <externalReference r:id="rId6"/>
  </externalReferences>
  <definedNames>
    <definedName name="_xlnm._FilterDatabase" localSheetId="2" hidden="1">'NSE active client data'!$A$2:$J$2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3" i="4" l="1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4" i="4"/>
  <c r="G8" i="4"/>
  <c r="H8" i="4" s="1"/>
  <c r="G9" i="4"/>
  <c r="G10" i="4"/>
  <c r="G11" i="4"/>
  <c r="H11" i="4" s="1"/>
  <c r="G12" i="4"/>
  <c r="G13" i="4"/>
  <c r="G14" i="4"/>
  <c r="G15" i="4"/>
  <c r="G16" i="4"/>
  <c r="G17" i="4"/>
  <c r="H17" i="4" s="1"/>
  <c r="G18" i="4"/>
  <c r="H18" i="4" s="1"/>
  <c r="G19" i="4"/>
  <c r="H19" i="4" s="1"/>
  <c r="G20" i="4"/>
  <c r="H20" i="4" s="1"/>
  <c r="G21" i="4"/>
  <c r="H21" i="4" s="1"/>
  <c r="G22" i="4"/>
  <c r="H22" i="4" s="1"/>
  <c r="G23" i="4"/>
  <c r="H23" i="4" s="1"/>
  <c r="G24" i="4"/>
  <c r="H24" i="4" s="1"/>
  <c r="G25" i="4"/>
  <c r="H25" i="4" s="1"/>
  <c r="G26" i="4"/>
  <c r="H26" i="4" s="1"/>
  <c r="G28" i="4"/>
  <c r="H28" i="4" s="1"/>
  <c r="G27" i="4"/>
  <c r="H27" i="4" s="1"/>
  <c r="G30" i="4"/>
  <c r="H30" i="4" s="1"/>
  <c r="G31" i="4"/>
  <c r="H31" i="4" s="1"/>
  <c r="G29" i="4"/>
  <c r="H29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40" i="4"/>
  <c r="H40" i="4" s="1"/>
  <c r="G41" i="4"/>
  <c r="H41" i="4" s="1"/>
  <c r="G42" i="4"/>
  <c r="H42" i="4" s="1"/>
  <c r="G43" i="4"/>
  <c r="H43" i="4" s="1"/>
  <c r="G44" i="4"/>
  <c r="H44" i="4" s="1"/>
  <c r="G45" i="4"/>
  <c r="H45" i="4" s="1"/>
  <c r="G46" i="4"/>
  <c r="H46" i="4" s="1"/>
  <c r="G47" i="4"/>
  <c r="H47" i="4" s="1"/>
  <c r="G48" i="4"/>
  <c r="H48" i="4" s="1"/>
  <c r="G49" i="4"/>
  <c r="H49" i="4" s="1"/>
  <c r="G50" i="4"/>
  <c r="H50" i="4" s="1"/>
  <c r="G51" i="4"/>
  <c r="H51" i="4" s="1"/>
  <c r="G52" i="4"/>
  <c r="H52" i="4" s="1"/>
  <c r="G53" i="4"/>
  <c r="H53" i="4" s="1"/>
  <c r="G54" i="4"/>
  <c r="H54" i="4" s="1"/>
  <c r="G55" i="4"/>
  <c r="H55" i="4" s="1"/>
  <c r="G56" i="4"/>
  <c r="H56" i="4" s="1"/>
  <c r="G57" i="4"/>
  <c r="H57" i="4" s="1"/>
  <c r="G58" i="4"/>
  <c r="H58" i="4" s="1"/>
  <c r="G59" i="4"/>
  <c r="H59" i="4" s="1"/>
  <c r="G60" i="4"/>
  <c r="H60" i="4" s="1"/>
  <c r="H221" i="4"/>
  <c r="G61" i="4"/>
  <c r="H61" i="4" s="1"/>
  <c r="G65" i="4"/>
  <c r="H65" i="4" s="1"/>
  <c r="G62" i="4"/>
  <c r="H62" i="4" s="1"/>
  <c r="G63" i="4"/>
  <c r="H63" i="4" s="1"/>
  <c r="G64" i="4"/>
  <c r="H64" i="4" s="1"/>
  <c r="G66" i="4"/>
  <c r="H66" i="4" s="1"/>
  <c r="G67" i="4"/>
  <c r="H67" i="4" s="1"/>
  <c r="G68" i="4"/>
  <c r="H68" i="4" s="1"/>
  <c r="G69" i="4"/>
  <c r="H69" i="4" s="1"/>
  <c r="G70" i="4"/>
  <c r="H70" i="4" s="1"/>
  <c r="G71" i="4"/>
  <c r="H71" i="4" s="1"/>
  <c r="G72" i="4"/>
  <c r="H72" i="4" s="1"/>
  <c r="G73" i="4"/>
  <c r="H73" i="4" s="1"/>
  <c r="G74" i="4"/>
  <c r="H74" i="4" s="1"/>
  <c r="G75" i="4"/>
  <c r="H75" i="4" s="1"/>
  <c r="G76" i="4"/>
  <c r="H76" i="4" s="1"/>
  <c r="G78" i="4"/>
  <c r="H78" i="4" s="1"/>
  <c r="G81" i="4"/>
  <c r="H81" i="4" s="1"/>
  <c r="G79" i="4"/>
  <c r="H79" i="4" s="1"/>
  <c r="G77" i="4"/>
  <c r="H77" i="4" s="1"/>
  <c r="G80" i="4"/>
  <c r="H80" i="4" s="1"/>
  <c r="G82" i="4"/>
  <c r="H82" i="4" s="1"/>
  <c r="G84" i="4"/>
  <c r="H84" i="4" s="1"/>
  <c r="G83" i="4"/>
  <c r="H83" i="4" s="1"/>
  <c r="G85" i="4"/>
  <c r="H85" i="4" s="1"/>
  <c r="G88" i="4"/>
  <c r="H88" i="4" s="1"/>
  <c r="G86" i="4"/>
  <c r="H86" i="4" s="1"/>
  <c r="G87" i="4"/>
  <c r="H87" i="4" s="1"/>
  <c r="G89" i="4"/>
  <c r="H89" i="4" s="1"/>
  <c r="G90" i="4"/>
  <c r="H90" i="4" s="1"/>
  <c r="G91" i="4"/>
  <c r="H91" i="4" s="1"/>
  <c r="G92" i="4"/>
  <c r="H92" i="4" s="1"/>
  <c r="G93" i="4"/>
  <c r="H93" i="4" s="1"/>
  <c r="G95" i="4"/>
  <c r="H95" i="4" s="1"/>
  <c r="G96" i="4"/>
  <c r="H96" i="4" s="1"/>
  <c r="G98" i="4"/>
  <c r="H98" i="4" s="1"/>
  <c r="G97" i="4"/>
  <c r="H97" i="4" s="1"/>
  <c r="G99" i="4"/>
  <c r="H99" i="4" s="1"/>
  <c r="G94" i="4"/>
  <c r="H94" i="4" s="1"/>
  <c r="G100" i="4"/>
  <c r="H100" i="4" s="1"/>
  <c r="G101" i="4"/>
  <c r="H101" i="4" s="1"/>
  <c r="G102" i="4"/>
  <c r="H102" i="4" s="1"/>
  <c r="G103" i="4"/>
  <c r="H103" i="4" s="1"/>
  <c r="G104" i="4"/>
  <c r="H104" i="4" s="1"/>
  <c r="G105" i="4"/>
  <c r="H105" i="4" s="1"/>
  <c r="G106" i="4"/>
  <c r="H106" i="4" s="1"/>
  <c r="G107" i="4"/>
  <c r="H107" i="4" s="1"/>
  <c r="G108" i="4"/>
  <c r="H108" i="4" s="1"/>
  <c r="G109" i="4"/>
  <c r="H109" i="4" s="1"/>
  <c r="G110" i="4"/>
  <c r="H110" i="4" s="1"/>
  <c r="G111" i="4"/>
  <c r="H111" i="4" s="1"/>
  <c r="G113" i="4"/>
  <c r="H113" i="4" s="1"/>
  <c r="G112" i="4"/>
  <c r="H112" i="4" s="1"/>
  <c r="G114" i="4"/>
  <c r="H114" i="4" s="1"/>
  <c r="G115" i="4"/>
  <c r="H115" i="4" s="1"/>
  <c r="G116" i="4"/>
  <c r="H116" i="4" s="1"/>
  <c r="G118" i="4"/>
  <c r="H118" i="4" s="1"/>
  <c r="G117" i="4"/>
  <c r="H117" i="4" s="1"/>
  <c r="G119" i="4"/>
  <c r="H119" i="4" s="1"/>
  <c r="G120" i="4"/>
  <c r="H120" i="4" s="1"/>
  <c r="G121" i="4"/>
  <c r="H121" i="4" s="1"/>
  <c r="G122" i="4"/>
  <c r="H122" i="4" s="1"/>
  <c r="G123" i="4"/>
  <c r="H123" i="4" s="1"/>
  <c r="G124" i="4"/>
  <c r="H124" i="4" s="1"/>
  <c r="G125" i="4"/>
  <c r="H125" i="4" s="1"/>
  <c r="G126" i="4"/>
  <c r="H126" i="4" s="1"/>
  <c r="G127" i="4"/>
  <c r="H127" i="4" s="1"/>
  <c r="G129" i="4"/>
  <c r="H129" i="4" s="1"/>
  <c r="G128" i="4"/>
  <c r="H128" i="4" s="1"/>
  <c r="G131" i="4"/>
  <c r="H131" i="4" s="1"/>
  <c r="G132" i="4"/>
  <c r="H132" i="4" s="1"/>
  <c r="G134" i="4"/>
  <c r="H134" i="4" s="1"/>
  <c r="G133" i="4"/>
  <c r="H133" i="4" s="1"/>
  <c r="G135" i="4"/>
  <c r="H135" i="4" s="1"/>
  <c r="G136" i="4"/>
  <c r="H136" i="4" s="1"/>
  <c r="G130" i="4"/>
  <c r="H130" i="4" s="1"/>
  <c r="G140" i="4"/>
  <c r="H140" i="4" s="1"/>
  <c r="G137" i="4"/>
  <c r="H137" i="4" s="1"/>
  <c r="G138" i="4"/>
  <c r="H138" i="4" s="1"/>
  <c r="G139" i="4"/>
  <c r="H139" i="4" s="1"/>
  <c r="G141" i="4"/>
  <c r="H141" i="4" s="1"/>
  <c r="G142" i="4"/>
  <c r="H142" i="4" s="1"/>
  <c r="G143" i="4"/>
  <c r="H143" i="4" s="1"/>
  <c r="G148" i="4"/>
  <c r="H148" i="4" s="1"/>
  <c r="G144" i="4"/>
  <c r="H144" i="4" s="1"/>
  <c r="G145" i="4"/>
  <c r="H145" i="4" s="1"/>
  <c r="G146" i="4"/>
  <c r="H146" i="4" s="1"/>
  <c r="G147" i="4"/>
  <c r="H147" i="4" s="1"/>
  <c r="G149" i="4"/>
  <c r="H149" i="4" s="1"/>
  <c r="G150" i="4"/>
  <c r="H150" i="4" s="1"/>
  <c r="G204" i="4"/>
  <c r="H204" i="4" s="1"/>
  <c r="G151" i="4"/>
  <c r="H151" i="4" s="1"/>
  <c r="G152" i="4"/>
  <c r="H152" i="4" s="1"/>
  <c r="G153" i="4"/>
  <c r="H153" i="4" s="1"/>
  <c r="G154" i="4"/>
  <c r="H154" i="4" s="1"/>
  <c r="G155" i="4"/>
  <c r="H155" i="4" s="1"/>
  <c r="G156" i="4"/>
  <c r="H156" i="4" s="1"/>
  <c r="G159" i="4"/>
  <c r="H159" i="4" s="1"/>
  <c r="G157" i="4"/>
  <c r="H157" i="4" s="1"/>
  <c r="G158" i="4"/>
  <c r="H158" i="4" s="1"/>
  <c r="G160" i="4"/>
  <c r="H160" i="4" s="1"/>
  <c r="G161" i="4"/>
  <c r="H161" i="4" s="1"/>
  <c r="G162" i="4"/>
  <c r="H162" i="4" s="1"/>
  <c r="G163" i="4"/>
  <c r="H163" i="4" s="1"/>
  <c r="G164" i="4"/>
  <c r="H164" i="4" s="1"/>
  <c r="G166" i="4"/>
  <c r="H166" i="4" s="1"/>
  <c r="G168" i="4"/>
  <c r="H168" i="4" s="1"/>
  <c r="H222" i="4"/>
  <c r="G170" i="4"/>
  <c r="H170" i="4" s="1"/>
  <c r="G171" i="4"/>
  <c r="H171" i="4" s="1"/>
  <c r="G172" i="4"/>
  <c r="H172" i="4" s="1"/>
  <c r="G175" i="4"/>
  <c r="H175" i="4" s="1"/>
  <c r="G179" i="4"/>
  <c r="H179" i="4" s="1"/>
  <c r="G177" i="4"/>
  <c r="H177" i="4" s="1"/>
  <c r="G181" i="4"/>
  <c r="H181" i="4" s="1"/>
  <c r="G185" i="4"/>
  <c r="H185" i="4" s="1"/>
  <c r="G183" i="4"/>
  <c r="H183" i="4" s="1"/>
  <c r="G187" i="4"/>
  <c r="H187" i="4" s="1"/>
  <c r="G188" i="4"/>
  <c r="H188" i="4" s="1"/>
  <c r="G190" i="4"/>
  <c r="H190" i="4" s="1"/>
  <c r="G192" i="4"/>
  <c r="H192" i="4" s="1"/>
  <c r="G194" i="4"/>
  <c r="H194" i="4" s="1"/>
  <c r="G196" i="4"/>
  <c r="H196" i="4" s="1"/>
  <c r="G198" i="4"/>
  <c r="H198" i="4" s="1"/>
  <c r="G199" i="4"/>
  <c r="H199" i="4" s="1"/>
  <c r="G202" i="4"/>
  <c r="H202" i="4" s="1"/>
  <c r="G205" i="4"/>
  <c r="H205" i="4" s="1"/>
  <c r="G206" i="4"/>
  <c r="H206" i="4" s="1"/>
  <c r="G207" i="4"/>
  <c r="H207" i="4" s="1"/>
  <c r="G208" i="4"/>
  <c r="H208" i="4" s="1"/>
  <c r="G209" i="4"/>
  <c r="H209" i="4" s="1"/>
  <c r="G210" i="4"/>
  <c r="H210" i="4" s="1"/>
  <c r="G211" i="4"/>
  <c r="H211" i="4" s="1"/>
  <c r="G212" i="4"/>
  <c r="H212" i="4" s="1"/>
  <c r="G165" i="4"/>
  <c r="G167" i="4"/>
  <c r="G169" i="4"/>
  <c r="G173" i="4"/>
  <c r="G174" i="4"/>
  <c r="G176" i="4"/>
  <c r="G180" i="4"/>
  <c r="H180" i="4" s="1"/>
  <c r="G182" i="4"/>
  <c r="G186" i="4"/>
  <c r="G178" i="4"/>
  <c r="G184" i="4"/>
  <c r="G189" i="4"/>
  <c r="G191" i="4"/>
  <c r="H191" i="4" s="1"/>
  <c r="G193" i="4"/>
  <c r="G195" i="4"/>
  <c r="H195" i="4" s="1"/>
  <c r="G200" i="4"/>
  <c r="G197" i="4"/>
  <c r="G201" i="4"/>
  <c r="G203" i="4"/>
  <c r="G213" i="4"/>
  <c r="G214" i="4"/>
  <c r="G215" i="4"/>
  <c r="G216" i="4"/>
  <c r="G217" i="4"/>
  <c r="G218" i="4"/>
  <c r="G219" i="4"/>
  <c r="G220" i="4"/>
  <c r="H220" i="4" s="1"/>
  <c r="G3" i="4"/>
  <c r="H3" i="4" s="1"/>
  <c r="G7" i="4"/>
  <c r="H5" i="4"/>
  <c r="H6" i="4"/>
  <c r="H9" i="4"/>
  <c r="H10" i="4"/>
  <c r="H12" i="4"/>
  <c r="H13" i="4"/>
  <c r="H14" i="4"/>
  <c r="H15" i="4"/>
  <c r="H16" i="4"/>
  <c r="H4" i="4"/>
  <c r="AF30" i="1"/>
  <c r="AF32" i="1"/>
  <c r="AG32" i="1"/>
  <c r="AG30" i="1"/>
  <c r="AG6" i="1"/>
  <c r="AG5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5" i="1"/>
  <c r="F36" i="1" s="1"/>
  <c r="E35" i="1"/>
  <c r="E36" i="1" s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AF5" i="1"/>
  <c r="AF6" i="1" s="1"/>
  <c r="AE5" i="1"/>
  <c r="AE6" i="1" s="1"/>
  <c r="AD5" i="1"/>
  <c r="AD6" i="1" s="1"/>
  <c r="AC5" i="1"/>
  <c r="AC6" i="1" s="1"/>
  <c r="AB5" i="1"/>
  <c r="AB6" i="1" s="1"/>
  <c r="AA5" i="1"/>
  <c r="AA6" i="1" s="1"/>
  <c r="Z5" i="1"/>
  <c r="Z6" i="1" s="1"/>
  <c r="Y5" i="1"/>
  <c r="Y6" i="1" s="1"/>
  <c r="X5" i="1"/>
  <c r="X6" i="1" s="1"/>
  <c r="W5" i="1"/>
  <c r="W6" i="1" s="1"/>
  <c r="V5" i="1"/>
  <c r="V6" i="1" s="1"/>
  <c r="U5" i="1"/>
  <c r="U6" i="1" s="1"/>
  <c r="T5" i="1"/>
  <c r="T6" i="1" s="1"/>
  <c r="S5" i="1"/>
  <c r="S6" i="1" s="1"/>
  <c r="R5" i="1"/>
  <c r="R6" i="1" s="1"/>
  <c r="Q5" i="1"/>
  <c r="Q6" i="1" s="1"/>
  <c r="P5" i="1"/>
  <c r="P6" i="1" s="1"/>
  <c r="O5" i="1"/>
  <c r="O6" i="1" s="1"/>
  <c r="N5" i="1"/>
  <c r="N6" i="1" s="1"/>
  <c r="M5" i="1"/>
  <c r="M6" i="1" s="1"/>
  <c r="L5" i="1"/>
  <c r="L6" i="1" s="1"/>
  <c r="K5" i="1"/>
  <c r="K6" i="1" s="1"/>
  <c r="J5" i="1"/>
  <c r="J6" i="1" s="1"/>
  <c r="I5" i="1"/>
  <c r="I6" i="1" s="1"/>
  <c r="H5" i="1"/>
  <c r="H6" i="1" s="1"/>
  <c r="G5" i="1"/>
  <c r="G6" i="1" s="1"/>
  <c r="F5" i="1"/>
  <c r="F6" i="1" s="1"/>
  <c r="E5" i="1"/>
  <c r="E6" i="1" s="1"/>
  <c r="D5" i="1"/>
  <c r="F165" i="4"/>
  <c r="F167" i="4"/>
  <c r="F169" i="4"/>
  <c r="F173" i="4"/>
  <c r="F174" i="4"/>
  <c r="F176" i="4"/>
  <c r="F182" i="4"/>
  <c r="F186" i="4"/>
  <c r="F178" i="4"/>
  <c r="F184" i="4"/>
  <c r="F189" i="4"/>
  <c r="F193" i="4"/>
  <c r="F200" i="4"/>
  <c r="F197" i="4"/>
  <c r="F201" i="4"/>
  <c r="F203" i="4"/>
  <c r="F213" i="4"/>
  <c r="F214" i="4"/>
  <c r="F215" i="4"/>
  <c r="F216" i="4"/>
  <c r="F217" i="4"/>
  <c r="F218" i="4"/>
  <c r="F219" i="4"/>
  <c r="F223" i="4"/>
  <c r="E225" i="4"/>
  <c r="E226" i="4" s="1"/>
  <c r="F225" i="4" l="1"/>
  <c r="F226" i="4" s="1"/>
  <c r="H7" i="4"/>
  <c r="G225" i="4"/>
  <c r="G226" i="4" s="1"/>
  <c r="H203" i="4"/>
  <c r="H213" i="4"/>
  <c r="H201" i="4"/>
  <c r="H165" i="4"/>
  <c r="H167" i="4"/>
  <c r="H169" i="4"/>
  <c r="H173" i="4"/>
  <c r="H174" i="4"/>
  <c r="H176" i="4"/>
  <c r="H182" i="4"/>
  <c r="H186" i="4"/>
  <c r="H178" i="4"/>
  <c r="H184" i="4"/>
  <c r="H189" i="4"/>
  <c r="H193" i="4"/>
  <c r="H200" i="4"/>
  <c r="H197" i="4"/>
  <c r="H214" i="4"/>
  <c r="H215" i="4"/>
  <c r="H216" i="4"/>
  <c r="H217" i="4"/>
  <c r="H218" i="4"/>
  <c r="H2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tc={2DE96239-B88D-459C-AF38-F1E661FB7A24}</author>
  </authors>
  <commentList>
    <comment ref="D6" authorId="0" shapeId="0" xr:uid="{2DE96239-B88D-459C-AF38-F1E661FB7A2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@Mridul Sapra not updated
</t>
      </text>
    </comment>
  </commentList>
</comments>
</file>

<file path=xl/sharedStrings.xml><?xml version="1.0" encoding="utf-8"?>
<sst xmlns="http://schemas.openxmlformats.org/spreadsheetml/2006/main" count="593" uniqueCount="303">
  <si>
    <t>Source</t>
  </si>
  <si>
    <t>Trading Days</t>
  </si>
  <si>
    <t>NSE/ Sebi bulletin</t>
  </si>
  <si>
    <t>SEBI bulletin</t>
  </si>
  <si>
    <t>New Demat Account</t>
  </si>
  <si>
    <t>Difference of 2 &amp; 3</t>
  </si>
  <si>
    <t>NSE Pulse</t>
  </si>
  <si>
    <t>FII Volume (cash)</t>
  </si>
  <si>
    <t>DII Volume (Cash)</t>
  </si>
  <si>
    <t>M cap wise</t>
  </si>
  <si>
    <t>Overall</t>
  </si>
  <si>
    <t>https://www.nseindia.com/all-reports</t>
  </si>
  <si>
    <t>https://www.bseindia.com/markets/equity/eqreports/grossdel</t>
  </si>
  <si>
    <t>Month</t>
  </si>
  <si>
    <t>NSDL</t>
  </si>
  <si>
    <t>CDSL</t>
  </si>
  <si>
    <t>Total</t>
  </si>
  <si>
    <t>NSDL Demat Account (In Cr)</t>
  </si>
  <si>
    <t>CDSL Demat Account (InCr)</t>
  </si>
  <si>
    <t>NSE Unique PANs (In Cr)</t>
  </si>
  <si>
    <t>NSE MTF Book (In Cr)</t>
  </si>
  <si>
    <t>Take from Amit</t>
  </si>
  <si>
    <t>BSE MTF Book (In Cr)</t>
  </si>
  <si>
    <t>Total MTF book (In cr)</t>
  </si>
  <si>
    <t>4.08</t>
  </si>
  <si>
    <t>Total Volume (Notional) (In cr)</t>
  </si>
  <si>
    <t>F&amp;O Volume (Notional)(In cr)</t>
  </si>
  <si>
    <t>Private Indian promoters (lakh Crore)</t>
  </si>
  <si>
    <t>Foreign promoters  (lakh Crore)</t>
  </si>
  <si>
    <t>Passive DMFs ^  (lakh Crore)</t>
  </si>
  <si>
    <t>Active DMFs $  (lakh Crore)</t>
  </si>
  <si>
    <t>Banks, FIs &amp; Insurance   (lakh Crore)</t>
  </si>
  <si>
    <t>FPIs *   (lakh Crore)</t>
  </si>
  <si>
    <t>Non-promoter corporate   (lakh Crore)</t>
  </si>
  <si>
    <t>Individual Investor   (lakh Crore)</t>
  </si>
  <si>
    <t>Others **   (lakh Crore)</t>
  </si>
  <si>
    <t>Total Volume (premium) (In cr)</t>
  </si>
  <si>
    <t>F&amp;O Volume (Premium)  (In cr)</t>
  </si>
  <si>
    <t>Equity Volume (In cr)</t>
  </si>
  <si>
    <t>Govt (lakh Crore)</t>
  </si>
  <si>
    <t>NSE retail cash ADTO(In Cr)</t>
  </si>
  <si>
    <t>NSE retail Futures ADTO(InCr)</t>
  </si>
  <si>
    <t>NSE retail options ADTO(In Cr)</t>
  </si>
  <si>
    <t>FII Volume (OPTION)</t>
  </si>
  <si>
    <t>FII Volume (Future)</t>
  </si>
  <si>
    <t>Screeni And Direct file (https://www.nseindia.com/invest/arbitration-status)</t>
  </si>
  <si>
    <t>Total Demat accounts</t>
  </si>
  <si>
    <t>NSE Active clients (In Cr)</t>
  </si>
  <si>
    <t>NAME OF THE TM</t>
  </si>
  <si>
    <t>Groww Invest Tech Private Limited</t>
  </si>
  <si>
    <t>Zerodha Broking Limited</t>
  </si>
  <si>
    <t>Angel One Limited</t>
  </si>
  <si>
    <t>Icici Securities Limited</t>
  </si>
  <si>
    <t>Upstox Securities Private Limited</t>
  </si>
  <si>
    <t>Kotak Securities Ltd.</t>
  </si>
  <si>
    <t>Hdfc Securities Ltd.</t>
  </si>
  <si>
    <t>Sbicap Securities Limited</t>
  </si>
  <si>
    <t>Motilal Oswal Financial Services Limited</t>
  </si>
  <si>
    <t>Paytm Money Ltd.</t>
  </si>
  <si>
    <t>Indstocks Private Limited</t>
  </si>
  <si>
    <t>Sharekhan Ltd.</t>
  </si>
  <si>
    <t>Axis Securities Limited</t>
  </si>
  <si>
    <t>Iifl Capital Services Ltd.</t>
  </si>
  <si>
    <t>5paisa Capital Limited</t>
  </si>
  <si>
    <t>Choice Equity Broking Private Limited</t>
  </si>
  <si>
    <t>Mirae Asset Capital Markets ( India ) Private Limited</t>
  </si>
  <si>
    <t>Geojit Investments Limited</t>
  </si>
  <si>
    <t>Phonepe Wealth Broking Private Limited</t>
  </si>
  <si>
    <t>Fyers Securities Private Limited</t>
  </si>
  <si>
    <t>Smc Global Securities Ltd.</t>
  </si>
  <si>
    <t>Anand Rathi Share And Stock Brokers Limited</t>
  </si>
  <si>
    <t>Nuvama Wealth And Investment Limited.</t>
  </si>
  <si>
    <t>Jainam Broking Limited</t>
  </si>
  <si>
    <t>Religare Broking Limited</t>
  </si>
  <si>
    <t>Nirmal Bang Securities Pvt. Ltd.</t>
  </si>
  <si>
    <t>Jm Financial Services Limited</t>
  </si>
  <si>
    <t>Finvasia Securities Private Limited</t>
  </si>
  <si>
    <t>Alice Blue Fin Svcs P Ltd</t>
  </si>
  <si>
    <t>Yes Securities (india) Limited</t>
  </si>
  <si>
    <t>Tradebulls Securities (p) Ltd.</t>
  </si>
  <si>
    <t>Stockholding Services Limited</t>
  </si>
  <si>
    <t>Nj India Invest Private Limited</t>
  </si>
  <si>
    <t>Aditya Birla Money Limited</t>
  </si>
  <si>
    <t>Bajaj Financial Securities Ltd.</t>
  </si>
  <si>
    <t>Master Capital Services Limited</t>
  </si>
  <si>
    <t>Jhaveri Securities Limited</t>
  </si>
  <si>
    <t>Idbi Capital Markets &amp; Securities Ltd.</t>
  </si>
  <si>
    <t>Globe Capital Market Limited</t>
  </si>
  <si>
    <t>Bonanza Portfolio Ltd.</t>
  </si>
  <si>
    <t>Arihant Capital Markets Limited</t>
  </si>
  <si>
    <t>Swastika Investmart Limited</t>
  </si>
  <si>
    <t>Indiabulls Securities Limited (formerly Known As Dhani Stocks Limited)</t>
  </si>
  <si>
    <t>Integrated Enterprises (india) Private Limited</t>
  </si>
  <si>
    <t>Samco Securities Limited</t>
  </si>
  <si>
    <t>Sushil Financial Services Private Limited</t>
  </si>
  <si>
    <t>Prabhudas Lilladher Pvt. Ltd.</t>
  </si>
  <si>
    <t>Flattrade Broking Private Limited</t>
  </si>
  <si>
    <t>Univest Stock Broking Private Limited</t>
  </si>
  <si>
    <t>Eureka Stock &amp; Share Broking Services Limited</t>
  </si>
  <si>
    <t>Profitmart Securities Private Limited</t>
  </si>
  <si>
    <t>Shriram Insight Share Brokers Limited</t>
  </si>
  <si>
    <t>Lkp Securities Ltd.</t>
  </si>
  <si>
    <t>Goodwill Wealth Management Pvt Ltd</t>
  </si>
  <si>
    <t>Kifs Trade Capital Private Limited</t>
  </si>
  <si>
    <t>Ashika Stock Broking Ltd.</t>
  </si>
  <si>
    <t>B N Rathi Securities Limited</t>
  </si>
  <si>
    <t>Canara Bank Securities Limited</t>
  </si>
  <si>
    <t>Acumen Capital Market (india) Ltd</t>
  </si>
  <si>
    <t>Finwizard Technology Private Limited</t>
  </si>
  <si>
    <t>Bob Capital Markets Limited</t>
  </si>
  <si>
    <t>Navia Markets Ltd.</t>
  </si>
  <si>
    <t>Rudra Shares &amp; Stock Brokers Ltd</t>
  </si>
  <si>
    <t>Indbank Merchant Banking Services Ltd.</t>
  </si>
  <si>
    <t>Bgse Financials Limited</t>
  </si>
  <si>
    <t>Bp Equities Private Limited</t>
  </si>
  <si>
    <t>Enrich Financial Market Private Limited</t>
  </si>
  <si>
    <t>Share India Securities Limited</t>
  </si>
  <si>
    <t>Prithvi Finmart Private Limited</t>
  </si>
  <si>
    <t>R K Global Shares &amp; Securities Limited</t>
  </si>
  <si>
    <t>Wealthyin Broking Private Limited</t>
  </si>
  <si>
    <t>Smifs Limited</t>
  </si>
  <si>
    <t>Mangal Keshav Financial Services Llp</t>
  </si>
  <si>
    <t>Raghunandan Capital Private Limited</t>
  </si>
  <si>
    <t>Elite Wealth Limited</t>
  </si>
  <si>
    <t>Peerless Securities Limited</t>
  </si>
  <si>
    <t>Ashlar Securities Private Limited</t>
  </si>
  <si>
    <t>Kantilal Chhaganlal Securities Private Limited</t>
  </si>
  <si>
    <t>Arham Wealth Management Pvt Ltd</t>
  </si>
  <si>
    <t>Centrum Broking Limited</t>
  </si>
  <si>
    <t>Ats Share Brokers Private Limited</t>
  </si>
  <si>
    <t>Pocketful Fintech Capital Private Limited</t>
  </si>
  <si>
    <t>Greshma Shares &amp; Stocks Limited</t>
  </si>
  <si>
    <t>NA</t>
  </si>
  <si>
    <t>Dealmoney Commodities Pvt. Ltd.</t>
  </si>
  <si>
    <t>Ski Capital Services Ltd.</t>
  </si>
  <si>
    <t>Fair Intermediate Investment Pvt. Ltd.</t>
  </si>
  <si>
    <t>Uae Exchange &amp; Finance Ltd.</t>
  </si>
  <si>
    <t>Interactive Brokers (india) Private Limited</t>
  </si>
  <si>
    <t>Mintcap Brokers Private Limited</t>
  </si>
  <si>
    <t>Marck Securities Pvt. Ltd.</t>
  </si>
  <si>
    <t>Sunshine Stock Broking Private Limited</t>
  </si>
  <si>
    <t xml:space="preserve">Nirmal Bang Equities Private Limited </t>
  </si>
  <si>
    <t>Singhal Capital Services Ltd.</t>
  </si>
  <si>
    <t>New Berry Capitals Private Limited</t>
  </si>
  <si>
    <t>Arete Securities Limited</t>
  </si>
  <si>
    <t>Ksn Credence Commodities Trading Private Limited</t>
  </si>
  <si>
    <t>Maheshwari Equity Services (p) Limited</t>
  </si>
  <si>
    <t>Share India Algoplus Private Limited</t>
  </si>
  <si>
    <t>Icici Bank Ltd.</t>
  </si>
  <si>
    <t>Union Bank Of India</t>
  </si>
  <si>
    <t>Lalkar Securities Private Limited</t>
  </si>
  <si>
    <t>Finsol Securities Private Limited</t>
  </si>
  <si>
    <t>Achintya Securities Limited</t>
  </si>
  <si>
    <t>Junomoneta Finsol Private Limited</t>
  </si>
  <si>
    <t>Barclays Securities (india) Private Limited</t>
  </si>
  <si>
    <t>-</t>
  </si>
  <si>
    <t>Hsbc Securities &amp; Capital Markets (india) Pvt. Ltd.</t>
  </si>
  <si>
    <t>Marketwolf Securities Private Limited</t>
  </si>
  <si>
    <t>Monarch Networth Capital Limited</t>
  </si>
  <si>
    <t>Navkar Share &amp; Stock Brokers Private Limited</t>
  </si>
  <si>
    <t>Stockology Securities Private Limited</t>
  </si>
  <si>
    <t>Tradeswift Broking Private Limited</t>
  </si>
  <si>
    <t>Ventura Securities Limited</t>
  </si>
  <si>
    <t>Zanskar Securities Private Limited</t>
  </si>
  <si>
    <t>Ajcon Global Services Limited</t>
  </si>
  <si>
    <t>Avendus Wealth Management Private Limited</t>
  </si>
  <si>
    <t>Bajaj Share &amp; Stock Brokers Pvt. Ltd</t>
  </si>
  <si>
    <t>Baljit Securities Pvt. Ltd.</t>
  </si>
  <si>
    <t>Centrum Finverse Limited</t>
  </si>
  <si>
    <t>Fortune Capital Services</t>
  </si>
  <si>
    <t>Gepl Capital Private Limited</t>
  </si>
  <si>
    <t>Growth Securities Private Limited</t>
  </si>
  <si>
    <t>Jk Securities Pvt. Ltd.</t>
  </si>
  <si>
    <t>Kedia Shares &amp; Stocks Brokers Limited</t>
  </si>
  <si>
    <t>Kunvarji Finstock Pvt. Ltd.</t>
  </si>
  <si>
    <t>Mandot Securities Private Limited</t>
  </si>
  <si>
    <t>Marwadi Shares And Finance Limited</t>
  </si>
  <si>
    <t>Multigain Securities Services Pvt. Ltd.</t>
  </si>
  <si>
    <t>Rikhav Securities Limited</t>
  </si>
  <si>
    <t>Shri Parasram Holdings Pvt. Ltd.</t>
  </si>
  <si>
    <t>Trustline Securities Limited</t>
  </si>
  <si>
    <t>Gopocket Invest Tech Private Limited (formerly Known As Sky Commodities India Pvt Ltd)</t>
  </si>
  <si>
    <t>Citadel Securities India Markets Private Limited</t>
  </si>
  <si>
    <t>Inventure Growth &amp; Securities Limited</t>
  </si>
  <si>
    <t>Mse Financial Services Ltd.</t>
  </si>
  <si>
    <t>Sunlight Broking Llp</t>
  </si>
  <si>
    <t>Way2wealth Brokers Private Limited</t>
  </si>
  <si>
    <t>Astha Credit &amp; Securities (p) Ltd</t>
  </si>
  <si>
    <t>Aum Securities Private Ltd.</t>
  </si>
  <si>
    <t>Axis Bank Ltd.</t>
  </si>
  <si>
    <t>Balaji Equities Ltd.</t>
  </si>
  <si>
    <t>Definedge Securities Broking Private Limited</t>
  </si>
  <si>
    <t>Frr Shares And Securities Limited</t>
  </si>
  <si>
    <t>Ghalla Bhansali Stock Brokers Private Limited</t>
  </si>
  <si>
    <t>Hensex Securities Private Limited</t>
  </si>
  <si>
    <t>India Advantage Securities Private Limited</t>
  </si>
  <si>
    <t>Kifs Broking Private Limited</t>
  </si>
  <si>
    <t>Lakshmishree Investment &amp; Securities Pvt. Ltd.</t>
  </si>
  <si>
    <t>Market Pulse Securities Private Limited</t>
  </si>
  <si>
    <t>Morgan Stanley India Company Private Limited</t>
  </si>
  <si>
    <t>Pace Stock Broking Services Private Limited</t>
  </si>
  <si>
    <t>Punjab National Bank</t>
  </si>
  <si>
    <t>Shri Ram Commodities</t>
  </si>
  <si>
    <t>State Bank Of India</t>
  </si>
  <si>
    <t>Tradejini Financial Services Pvt Ltd</t>
  </si>
  <si>
    <t>Zuari Finserv Limited</t>
  </si>
  <si>
    <t xml:space="preserve">Stock Holding Corporation Of India Ltd. </t>
  </si>
  <si>
    <t>Grand Total</t>
  </si>
  <si>
    <t>Others</t>
  </si>
  <si>
    <t>Stockfield Financial Services Private Limited</t>
  </si>
  <si>
    <t>Quantum Securities Pvt. Ltd.</t>
  </si>
  <si>
    <t>Pravin Ratilal Share And Stock Brokers Ltd</t>
  </si>
  <si>
    <t>Nnm Securities Pvt. Ltd.</t>
  </si>
  <si>
    <t>Nikunj Stock Brokers Ltd.</t>
  </si>
  <si>
    <t>Khosla Tradewise Private Limited</t>
  </si>
  <si>
    <t>Econo Broking Private Limited</t>
  </si>
  <si>
    <t>Dynamic Equities Private Limited</t>
  </si>
  <si>
    <t>Bondbazaar Securities Private Limited</t>
  </si>
  <si>
    <t>Ans Pvt. Ltd.</t>
  </si>
  <si>
    <t>Alankit Imaginations Limited</t>
  </si>
  <si>
    <t>Aionion Capital Market Services Private Limited</t>
  </si>
  <si>
    <t>Abhipra Capital Limited</t>
  </si>
  <si>
    <t>Svcm Securities Private Limited</t>
  </si>
  <si>
    <t>Ifci Financial Services Limited</t>
  </si>
  <si>
    <t>Bhansali Value Creations Private Limited</t>
  </si>
  <si>
    <t xml:space="preserve">Kedia Capital Services Private Limited </t>
  </si>
  <si>
    <t>Adroit Financial Services Private Limited</t>
  </si>
  <si>
    <t xml:space="preserve"> https://www.nseindia.com/invest/arbitration-status    </t>
  </si>
  <si>
    <t>Src</t>
  </si>
  <si>
    <t>SIP AUM</t>
  </si>
  <si>
    <t>MF customers</t>
  </si>
  <si>
    <t>SIF customers</t>
  </si>
  <si>
    <t>Particulars</t>
  </si>
  <si>
    <t>Src: https://www.5paisa.com/share-market-today/fii-dii-data</t>
  </si>
  <si>
    <t>MF Schemes</t>
  </si>
  <si>
    <t>SIP Accounts</t>
  </si>
  <si>
    <t>SIF Folios</t>
  </si>
  <si>
    <t>SIF Schemes</t>
  </si>
  <si>
    <t>B30 contribution (Lk Cr)</t>
  </si>
  <si>
    <t>T30 contribution  (Lk Cr)</t>
  </si>
  <si>
    <t>Total AUM (Lk Cr)</t>
  </si>
  <si>
    <t>Equity AUM (Lk Cr)</t>
  </si>
  <si>
    <t>MF Folios (Lk Cr)</t>
  </si>
  <si>
    <t>Diff</t>
  </si>
  <si>
    <t>Aaritya Broking Private Ltd (Sahi)</t>
  </si>
  <si>
    <t>Nu Investors Technologies Private Limited (lemonn)</t>
  </si>
  <si>
    <t>Moneywise Finvest Limited (Stoxkart)</t>
  </si>
  <si>
    <t>Indusind Securities (Reliance Securities Limited)</t>
  </si>
  <si>
    <t>South Asian Stocks Ltd. (incredstocko.in)</t>
  </si>
  <si>
    <t>Shah Investors</t>
  </si>
  <si>
    <t>Iss Enterprise Limited</t>
  </si>
  <si>
    <t>Indira Securities Private Limited</t>
  </si>
  <si>
    <t>Standard Chartered Securities (india) Limited</t>
  </si>
  <si>
    <t>Sunidhi Securities &amp; Finance Limited</t>
  </si>
  <si>
    <t>Capstocks &amp; Securities (india) Private Limited</t>
  </si>
  <si>
    <t>Muthoot Securities Ltd.</t>
  </si>
  <si>
    <t>Julius Baer Wealth Advisors (india) Private Limited</t>
  </si>
  <si>
    <t>Skp Securities Ltd.</t>
  </si>
  <si>
    <t>Ambalal Shares And Stocks Private Limited</t>
  </si>
  <si>
    <t>Neo Wealth Management Private Limited</t>
  </si>
  <si>
    <t>Munoth Financial Services Ltd.</t>
  </si>
  <si>
    <t>Dyna Wegmans Securities Limited</t>
  </si>
  <si>
    <t>Integra Securities Private Limited</t>
  </si>
  <si>
    <t>https://www.amfiindia.com/research-information/amfi-monthly</t>
  </si>
  <si>
    <t>https://www.amfiindia.com/mutual-fund</t>
  </si>
  <si>
    <t>New SIPs registered</t>
  </si>
  <si>
    <t>https://www.amfiindia.com/sif/sif-monthly</t>
  </si>
  <si>
    <t>S. No.</t>
  </si>
  <si>
    <t xml:space="preserve">Name </t>
  </si>
  <si>
    <t>AUM</t>
  </si>
  <si>
    <t>360 One Portfolio Managers Limited (Formerly Known As Iifl Wealth Portfolio Managers Limited)</t>
  </si>
  <si>
    <t>₹37,596.73 Cr</t>
  </si>
  <si>
    <t>Enam Asset Management Company Private Limited</t>
  </si>
  <si>
    <t>₹36,568.65 Cr</t>
  </si>
  <si>
    <t>ICICI Prudential Asset Management Company Ltd</t>
  </si>
  <si>
    <t>₹30,292.16 Cr</t>
  </si>
  <si>
    <t>₹21,542.19 Cr</t>
  </si>
  <si>
    <t>Abakkus Investment Managers Private Limited</t>
  </si>
  <si>
    <t>₹21,511.24 Cr</t>
  </si>
  <si>
    <t>360 ONE Asset Management Limited</t>
  </si>
  <si>
    <t>₹20,034.49 Cr</t>
  </si>
  <si>
    <t>Valuequest Investment Advisors Pvt. Ltd.</t>
  </si>
  <si>
    <t>₹18,489.15 Cr</t>
  </si>
  <si>
    <t>Quantum Advisors Private Limited</t>
  </si>
  <si>
    <t>₹17,271.77 Cr</t>
  </si>
  <si>
    <t>Unifi Capital Pvt Ltd</t>
  </si>
  <si>
    <t>₹16,067.45 Cr</t>
  </si>
  <si>
    <t>Axis Asset Management Company Limited</t>
  </si>
  <si>
    <t>₹15,252.12 Cr</t>
  </si>
  <si>
    <t>Motilal Oswal Asset Management Company Limited - Portfolio Managers</t>
  </si>
  <si>
    <t>₹14,944.64 Cr</t>
  </si>
  <si>
    <t>Dezerv Investments Private Limited</t>
  </si>
  <si>
    <t>₹13,207.57 Cr</t>
  </si>
  <si>
    <t>Buoyant Capital Private Limited</t>
  </si>
  <si>
    <t>₹12,562.65 Cr</t>
  </si>
  <si>
    <t>Carnelian Asset Management &amp; Advisors Pvt Ltd</t>
  </si>
  <si>
    <t>₹12,321.08 Cr</t>
  </si>
  <si>
    <t>Julius Baer Wealth Advisors (India) Private Limited</t>
  </si>
  <si>
    <t>₹11,907.91 Cr</t>
  </si>
  <si>
    <t>Raise Securities Private Limited (formerly Known As Moneylicious Securities Private Limited) (dhan App)</t>
  </si>
  <si>
    <t>Market Share As of 30 Sep 2026</t>
  </si>
  <si>
    <t>SIF AUM (In Cr)</t>
  </si>
  <si>
    <t>SIP Contribution (In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</si>
</sst>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  <numFmt numFmtId="166" formatCode="#,##0.0"/>
    <numFmt numFmtId="167" formatCode="#,##0;\-#,##0;0"/>
    <numFmt numFmtId="168" formatCode="[$-409]d\-mmm\-yy;@"/>
    <numFmt numFmtId="169" formatCode="0.0"/>
    <numFmt numFmtId="170" formatCode="[$-409]d/mmm/yy;@"/>
    <numFmt numFmtId="171" formatCode="[&gt;=10000000]#.###\,##\,##0;[&gt;=100000]#.###\,##0;##,##0.0"/>
  </numFmts>
  <fonts count="2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Consolas"/>
      <family val="2"/>
    </font>
    <font>
      <sz val="10"/>
      <color theme="1"/>
      <name val="Garamond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0"/>
      <color indexed="8"/>
      <name val="Garamond"/>
      <family val="2"/>
    </font>
    <font>
      <sz val="12"/>
      <name val="Arial"/>
      <family val="2"/>
    </font>
    <font>
      <b/>
      <sz val="11"/>
      <color theme="1"/>
      <name val="Rubik"/>
    </font>
    <font>
      <sz val="11"/>
      <color theme="1"/>
      <name val="Rubik"/>
    </font>
    <font>
      <sz val="11"/>
      <name val="Rubik"/>
    </font>
    <font>
      <b/>
      <sz val="11"/>
      <name val="Rubik"/>
    </font>
    <font>
      <sz val="11"/>
      <color indexed="8"/>
      <name val="Rubik"/>
    </font>
    <font>
      <u/>
      <sz val="11"/>
      <color theme="10"/>
      <name val="Rubik"/>
    </font>
    <font>
      <b/>
      <sz val="11"/>
      <color indexed="8"/>
      <name val="Aptos Narrow"/>
      <family val="2"/>
      <scheme val="minor"/>
    </font>
    <font>
      <b/>
      <sz val="9"/>
      <name val="Arial"/>
      <family val="2"/>
    </font>
    <font>
      <sz val="8"/>
      <color theme="4"/>
      <name val="Rubik"/>
    </font>
    <font>
      <sz val="11"/>
      <color theme="4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61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43" fontId="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168" fontId="3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" fillId="0" borderId="0"/>
    <xf numFmtId="169" fontId="4" fillId="0" borderId="0" applyFont="0" applyFill="0" applyBorder="0" applyAlignment="0" applyProtection="0"/>
    <xf numFmtId="168" fontId="3" fillId="0" borderId="0"/>
    <xf numFmtId="0" fontId="4" fillId="0" borderId="0"/>
    <xf numFmtId="0" fontId="3" fillId="0" borderId="0"/>
    <xf numFmtId="43" fontId="4" fillId="0" borderId="0" applyNumberFormat="0" applyFont="0" applyFill="0" applyBorder="0" applyAlignment="0" applyProtection="0"/>
    <xf numFmtId="0" fontId="6" fillId="0" borderId="0"/>
    <xf numFmtId="168" fontId="3" fillId="0" borderId="0"/>
    <xf numFmtId="170" fontId="3" fillId="0" borderId="0"/>
    <xf numFmtId="168" fontId="4" fillId="0" borderId="0" applyNumberFormat="0" applyFill="0" applyBorder="0" applyAlignment="0" applyProtection="0"/>
    <xf numFmtId="168" fontId="4" fillId="0" borderId="0" applyNumberFormat="0" applyFill="0" applyBorder="0" applyAlignment="0" applyProtection="0"/>
    <xf numFmtId="171" fontId="7" fillId="0" borderId="0">
      <alignment horizontal="right"/>
    </xf>
    <xf numFmtId="0" fontId="4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8" fontId="4" fillId="0" borderId="0" applyNumberFormat="0" applyFill="0" applyBorder="0" applyAlignment="0" applyProtection="0"/>
    <xf numFmtId="168" fontId="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170" fontId="3" fillId="0" borderId="0"/>
    <xf numFmtId="170" fontId="3" fillId="0" borderId="0"/>
    <xf numFmtId="170" fontId="4" fillId="0" borderId="0" applyNumberFormat="0" applyFill="0" applyBorder="0" applyAlignment="0" applyProtection="0"/>
    <xf numFmtId="170" fontId="4" fillId="0" borderId="0" applyNumberFormat="0" applyFill="0" applyBorder="0" applyAlignment="0" applyProtection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170" fontId="3" fillId="0" borderId="0"/>
    <xf numFmtId="9" fontId="9" fillId="0" borderId="0" applyFont="0" applyFill="0" applyBorder="0" applyAlignment="0" applyProtection="0"/>
    <xf numFmtId="168" fontId="6" fillId="0" borderId="0"/>
    <xf numFmtId="0" fontId="3" fillId="0" borderId="0"/>
    <xf numFmtId="43" fontId="5" fillId="0" borderId="0" applyFont="0" applyFill="0" applyBorder="0" applyAlignment="0" applyProtection="0"/>
    <xf numFmtId="0" fontId="3" fillId="0" borderId="0"/>
    <xf numFmtId="0" fontId="3" fillId="0" borderId="0"/>
    <xf numFmtId="0" fontId="5" fillId="0" borderId="0"/>
    <xf numFmtId="168" fontId="3" fillId="0" borderId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4" fillId="0" borderId="0" applyFont="0" applyFill="0" applyBorder="0" applyAlignment="0" applyProtection="0"/>
    <xf numFmtId="0" fontId="10" fillId="0" borderId="0"/>
    <xf numFmtId="9" fontId="10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NumberFormat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7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1" fillId="2" borderId="1" xfId="0" applyFont="1" applyFill="1" applyBorder="1"/>
    <xf numFmtId="17" fontId="11" fillId="2" borderId="1" xfId="0" applyNumberFormat="1" applyFont="1" applyFill="1" applyBorder="1"/>
    <xf numFmtId="0" fontId="12" fillId="0" borderId="0" xfId="0" applyFont="1"/>
    <xf numFmtId="0" fontId="12" fillId="0" borderId="1" xfId="0" applyFont="1" applyBorder="1"/>
    <xf numFmtId="164" fontId="12" fillId="0" borderId="1" xfId="2" applyNumberFormat="1" applyFont="1" applyFill="1" applyBorder="1"/>
    <xf numFmtId="43" fontId="12" fillId="0" borderId="1" xfId="2" applyFont="1" applyBorder="1"/>
    <xf numFmtId="0" fontId="12" fillId="2" borderId="1" xfId="0" applyFont="1" applyFill="1" applyBorder="1"/>
    <xf numFmtId="0" fontId="13" fillId="0" borderId="1" xfId="0" applyFont="1" applyBorder="1" applyAlignment="1">
      <alignment wrapText="1"/>
    </xf>
    <xf numFmtId="166" fontId="14" fillId="0" borderId="1" xfId="0" applyNumberFormat="1" applyFont="1" applyBorder="1" applyAlignment="1">
      <alignment horizontal="center" vertical="center" wrapText="1"/>
    </xf>
    <xf numFmtId="165" fontId="12" fillId="0" borderId="1" xfId="2" applyNumberFormat="1" applyFont="1" applyBorder="1"/>
    <xf numFmtId="43" fontId="12" fillId="0" borderId="0" xfId="2" applyFont="1"/>
    <xf numFmtId="10" fontId="12" fillId="0" borderId="1" xfId="3" applyNumberFormat="1" applyFont="1" applyBorder="1"/>
    <xf numFmtId="9" fontId="12" fillId="0" borderId="1" xfId="3" applyFont="1" applyBorder="1"/>
    <xf numFmtId="164" fontId="12" fillId="0" borderId="1" xfId="2" applyNumberFormat="1" applyFont="1" applyBorder="1"/>
    <xf numFmtId="3" fontId="12" fillId="0" borderId="0" xfId="0" applyNumberFormat="1" applyFont="1"/>
    <xf numFmtId="0" fontId="11" fillId="0" borderId="0" xfId="0" applyFont="1" applyAlignment="1">
      <alignment horizontal="center" vertical="center" wrapText="1"/>
    </xf>
    <xf numFmtId="17" fontId="12" fillId="0" borderId="0" xfId="0" applyNumberFormat="1" applyFont="1" applyAlignment="1">
      <alignment vertical="center" wrapText="1"/>
    </xf>
    <xf numFmtId="3" fontId="12" fillId="0" borderId="0" xfId="0" applyNumberFormat="1" applyFont="1" applyAlignment="1">
      <alignment vertical="center" wrapText="1"/>
    </xf>
    <xf numFmtId="3" fontId="12" fillId="0" borderId="1" xfId="0" applyNumberFormat="1" applyFont="1" applyBorder="1"/>
    <xf numFmtId="3" fontId="12" fillId="0" borderId="1" xfId="2" applyNumberFormat="1" applyFont="1" applyFill="1" applyBorder="1"/>
    <xf numFmtId="3" fontId="15" fillId="3" borderId="1" xfId="10" applyNumberFormat="1" applyFont="1" applyFill="1" applyBorder="1" applyAlignment="1">
      <alignment vertical="center"/>
    </xf>
    <xf numFmtId="165" fontId="15" fillId="3" borderId="1" xfId="44" applyNumberFormat="1" applyFont="1" applyFill="1" applyBorder="1" applyAlignment="1">
      <alignment vertical="center"/>
    </xf>
    <xf numFmtId="167" fontId="15" fillId="3" borderId="1" xfId="10" applyNumberFormat="1" applyFont="1" applyFill="1" applyBorder="1" applyAlignment="1">
      <alignment vertical="center"/>
    </xf>
    <xf numFmtId="0" fontId="11" fillId="0" borderId="1" xfId="0" applyFont="1" applyBorder="1"/>
    <xf numFmtId="3" fontId="11" fillId="0" borderId="1" xfId="0" applyNumberFormat="1" applyFont="1" applyBorder="1"/>
    <xf numFmtId="0" fontId="16" fillId="0" borderId="1" xfId="1" applyFont="1" applyBorder="1" applyAlignment="1">
      <alignment wrapText="1"/>
    </xf>
    <xf numFmtId="0" fontId="2" fillId="0" borderId="1" xfId="1" applyBorder="1" applyAlignment="1">
      <alignment wrapText="1"/>
    </xf>
    <xf numFmtId="0" fontId="12" fillId="4" borderId="1" xfId="0" applyFont="1" applyFill="1" applyBorder="1"/>
    <xf numFmtId="3" fontId="12" fillId="4" borderId="1" xfId="0" applyNumberFormat="1" applyFont="1" applyFill="1" applyBorder="1"/>
    <xf numFmtId="0" fontId="0" fillId="0" borderId="1" xfId="0" applyBorder="1"/>
    <xf numFmtId="164" fontId="0" fillId="0" borderId="1" xfId="2" applyNumberFormat="1" applyFont="1" applyBorder="1" applyAlignment="1">
      <alignment horizontal="right"/>
    </xf>
    <xf numFmtId="0" fontId="17" fillId="0" borderId="1" xfId="0" applyFont="1" applyBorder="1" applyAlignment="1">
      <alignment horizontal="center"/>
    </xf>
    <xf numFmtId="164" fontId="17" fillId="0" borderId="1" xfId="2" applyNumberFormat="1" applyFont="1" applyBorder="1" applyAlignment="1">
      <alignment horizontal="right"/>
    </xf>
    <xf numFmtId="0" fontId="0" fillId="0" borderId="2" xfId="0" applyBorder="1"/>
    <xf numFmtId="164" fontId="0" fillId="0" borderId="1" xfId="2" applyNumberFormat="1" applyFont="1" applyBorder="1"/>
    <xf numFmtId="164" fontId="0" fillId="0" borderId="0" xfId="2" applyNumberFormat="1" applyFont="1"/>
    <xf numFmtId="0" fontId="18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wrapText="1"/>
    </xf>
    <xf numFmtId="0" fontId="0" fillId="0" borderId="7" xfId="0" applyBorder="1"/>
    <xf numFmtId="2" fontId="0" fillId="0" borderId="1" xfId="0" applyNumberFormat="1" applyBorder="1"/>
    <xf numFmtId="2" fontId="0" fillId="0" borderId="0" xfId="0" applyNumberFormat="1"/>
    <xf numFmtId="3" fontId="0" fillId="0" borderId="1" xfId="0" applyNumberFormat="1" applyBorder="1"/>
    <xf numFmtId="3" fontId="0" fillId="0" borderId="8" xfId="0" applyNumberFormat="1" applyBorder="1"/>
    <xf numFmtId="3" fontId="0" fillId="0" borderId="0" xfId="0" applyNumberFormat="1"/>
    <xf numFmtId="0" fontId="14" fillId="0" borderId="1" xfId="0" applyFont="1" applyBorder="1" applyAlignment="1">
      <alignment vertical="center" wrapText="1"/>
    </xf>
    <xf numFmtId="164" fontId="12" fillId="0" borderId="1" xfId="2" applyNumberFormat="1" applyFont="1" applyBorder="1" applyAlignment="1">
      <alignment horizontal="right"/>
    </xf>
    <xf numFmtId="10" fontId="0" fillId="0" borderId="0" xfId="0" applyNumberFormat="1" applyAlignment="1">
      <alignment horizontal="center" vertical="center"/>
    </xf>
    <xf numFmtId="10" fontId="1" fillId="6" borderId="0" xfId="3" applyNumberFormat="1" applyFont="1" applyFill="1"/>
    <xf numFmtId="164" fontId="12" fillId="0" borderId="1" xfId="2" applyNumberFormat="1" applyFont="1" applyFill="1" applyBorder="1" applyAlignment="1">
      <alignment horizontal="right"/>
    </xf>
    <xf numFmtId="0" fontId="13" fillId="6" borderId="1" xfId="0" applyFont="1" applyFill="1" applyBorder="1"/>
    <xf numFmtId="164" fontId="12" fillId="6" borderId="1" xfId="2" applyNumberFormat="1" applyFont="1" applyFill="1" applyBorder="1" applyAlignment="1">
      <alignment horizontal="right"/>
    </xf>
    <xf numFmtId="4" fontId="0" fillId="0" borderId="1" xfId="0" applyNumberFormat="1" applyBorder="1"/>
    <xf numFmtId="0" fontId="0" fillId="0" borderId="0" xfId="0" applyAlignment="1">
      <alignment wrapText="1"/>
    </xf>
    <xf numFmtId="0" fontId="21" fillId="7" borderId="0" xfId="0" applyFont="1" applyFill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7" xfId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2" xfId="1" applyBorder="1" applyAlignment="1">
      <alignment horizontal="center" wrapText="1"/>
    </xf>
    <xf numFmtId="4" fontId="20" fillId="5" borderId="3" xfId="0" applyNumberFormat="1" applyFont="1" applyFill="1" applyBorder="1" applyAlignment="1">
      <alignment horizontal="center"/>
    </xf>
    <xf numFmtId="4" fontId="20" fillId="5" borderId="4" xfId="0" applyNumberFormat="1" applyFont="1" applyFill="1" applyBorder="1" applyAlignment="1">
      <alignment horizontal="center"/>
    </xf>
    <xf numFmtId="4" fontId="20" fillId="5" borderId="5" xfId="0" applyNumberFormat="1" applyFont="1" applyFill="1" applyBorder="1" applyAlignment="1">
      <alignment horizontal="center"/>
    </xf>
    <xf numFmtId="3" fontId="0" fillId="0" borderId="9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0" fillId="0" borderId="1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20" fillId="5" borderId="3" xfId="0" applyNumberFormat="1" applyFont="1" applyFill="1" applyBorder="1" applyAlignment="1">
      <alignment horizontal="center"/>
    </xf>
    <xf numFmtId="3" fontId="20" fillId="5" borderId="4" xfId="0" applyNumberFormat="1" applyFont="1" applyFill="1" applyBorder="1" applyAlignment="1">
      <alignment horizontal="center"/>
    </xf>
    <xf numFmtId="3" fontId="20" fillId="5" borderId="5" xfId="0" applyNumberFormat="1" applyFont="1" applyFill="1" applyBorder="1" applyAlignment="1">
      <alignment horizontal="center"/>
    </xf>
    <xf numFmtId="4" fontId="20" fillId="5" borderId="1" xfId="0" applyNumberFormat="1" applyFont="1" applyFill="1" applyBorder="1" applyAlignment="1">
      <alignment horizontal="center"/>
    </xf>
    <xf numFmtId="164" fontId="17" fillId="0" borderId="1" xfId="0" applyNumberFormat="1" applyFont="1" applyBorder="1" applyAlignment="1">
      <alignment horizontal="right"/>
    </xf>
    <xf numFmtId="17" fontId="14" fillId="0" borderId="7" xfId="2" applyNumberFormat="1" applyFont="1" applyBorder="1" applyAlignment="1">
      <alignment vertical="center" wrapText="1"/>
    </xf>
    <xf numFmtId="164" fontId="12" fillId="0" borderId="1" xfId="0" applyNumberFormat="1" applyFont="1" applyBorder="1"/>
    <xf numFmtId="164" fontId="0" fillId="0" borderId="1" xfId="3" applyNumberFormat="1" applyFont="1" applyBorder="1"/>
    <xf numFmtId="164" fontId="0" fillId="0" borderId="1" xfId="0" applyNumberFormat="1" applyBorder="1"/>
    <xf numFmtId="164" fontId="17" fillId="0" borderId="1" xfId="2" applyNumberFormat="1" applyFont="1" applyFill="1" applyBorder="1" applyAlignment="1">
      <alignment horizontal="right"/>
    </xf>
  </cellXfs>
  <cellStyles count="161">
    <cellStyle name="Comma" xfId="2" builtinId="3"/>
    <cellStyle name="Comma 10 5" xfId="15" xr:uid="{537EED21-785E-48F4-A453-1417CCF62D6D}"/>
    <cellStyle name="Comma 11" xfId="51" xr:uid="{A31B6CD8-098C-4A8D-8D4E-4D6DF514FDB7}"/>
    <cellStyle name="Comma 11 2" xfId="37" xr:uid="{F20C9BD4-9108-41EE-8675-96B5BAD1C232}"/>
    <cellStyle name="Comma 11 2 2" xfId="48" xr:uid="{29C2E009-9348-41D2-906A-80BAA755F5E3}"/>
    <cellStyle name="Comma 11 2 2 2" xfId="87" xr:uid="{43E3D367-1B68-42CF-A122-877B892DEDC1}"/>
    <cellStyle name="Comma 11 2 2 2 2" xfId="135" xr:uid="{CD598459-E8C2-48C1-81EC-1626A7E42F78}"/>
    <cellStyle name="Comma 11 2 2 3" xfId="116" xr:uid="{C6344C82-5399-4A62-813C-AE1475596AF4}"/>
    <cellStyle name="Comma 11 2 2 4" xfId="159" xr:uid="{C40613B8-321C-4FA5-9B78-6108E58DD1EF}"/>
    <cellStyle name="Comma 11 3" xfId="88" xr:uid="{E34554EA-8758-4D0B-8A8C-3EA7465D2ED9}"/>
    <cellStyle name="Comma 11 3 2" xfId="136" xr:uid="{0AE7A2A9-9C83-48EE-A842-419C942CD49C}"/>
    <cellStyle name="Comma 16" xfId="34" xr:uid="{3BB6F001-AB4A-41BE-9456-2575FDD00CE6}"/>
    <cellStyle name="Comma 16 2" xfId="35" xr:uid="{84E25A26-7A84-44C7-A017-7155694C7D68}"/>
    <cellStyle name="Comma 16 2 2" xfId="46" xr:uid="{089FCBAE-18B9-4A77-9A2B-C1A7EBE51AF0}"/>
    <cellStyle name="Comma 16 2 2 2" xfId="85" xr:uid="{8611FB07-4F75-473B-AA2A-53CA6D942311}"/>
    <cellStyle name="Comma 16 2 2 2 2" xfId="133" xr:uid="{58A9C270-AC5A-42D2-A77D-89C9BE452ABE}"/>
    <cellStyle name="Comma 16 2 2 3" xfId="114" xr:uid="{A8FC6553-25D0-4F51-ABF1-68BDD763BB27}"/>
    <cellStyle name="Comma 16 2 2 4" xfId="157" xr:uid="{48D7AF6B-58CB-443F-AF71-0710C37A32AC}"/>
    <cellStyle name="Comma 16 2 3" xfId="75" xr:uid="{F78AD7E1-3B0D-433C-A2FE-16CD0D8A8231}"/>
    <cellStyle name="Comma 16 2 3 2" xfId="123" xr:uid="{15DB3374-A3DD-4CDA-94E4-132F121149F2}"/>
    <cellStyle name="Comma 16 2 4" xfId="104" xr:uid="{2B68ADBA-A87B-481A-9CEA-428E930BE047}"/>
    <cellStyle name="Comma 16 2 5" xfId="147" xr:uid="{8E9B7468-B5A8-4161-B740-95C4865613EF}"/>
    <cellStyle name="Comma 18" xfId="31" xr:uid="{9F0FC8BC-8564-4132-86A4-B36262DF0F16}"/>
    <cellStyle name="Comma 18 2" xfId="44" xr:uid="{D3C082DF-F3F8-4995-95C7-D925650AE727}"/>
    <cellStyle name="Comma 18 2 2" xfId="83" xr:uid="{0571FCA3-FEF5-45EA-A0D5-A7D3E9B50443}"/>
    <cellStyle name="Comma 18 2 2 2" xfId="131" xr:uid="{D5FC903C-BCB9-4805-8131-607707BB8429}"/>
    <cellStyle name="Comma 18 2 3" xfId="112" xr:uid="{E47D70A3-FC1B-4DFF-8A78-7E65E5A187B6}"/>
    <cellStyle name="Comma 18 2 4" xfId="155" xr:uid="{50F61DD9-2DC6-49BA-900C-CE9884AC794D}"/>
    <cellStyle name="Comma 2" xfId="13" xr:uid="{064132C6-7F51-4AB9-BE1A-4DAB2D3FB190}"/>
    <cellStyle name="Comma 2 124" xfId="9" xr:uid="{64786204-5589-4823-8656-91D9528FDB57}"/>
    <cellStyle name="Comma 2 124 2" xfId="30" xr:uid="{17B3FE0C-7FF9-4805-AD0E-381E05BC9625}"/>
    <cellStyle name="Comma 2 124 2 2" xfId="43" xr:uid="{78F63F88-54DA-4C16-B366-693F64562942}"/>
    <cellStyle name="Comma 2 124 2 2 2" xfId="82" xr:uid="{DA3626FE-50F5-49A1-971A-1814D9327975}"/>
    <cellStyle name="Comma 2 124 2 2 2 2" xfId="130" xr:uid="{42CA2010-633B-4045-A5EB-B3343552AC57}"/>
    <cellStyle name="Comma 2 124 2 2 3" xfId="111" xr:uid="{D92C6B5D-0A01-4212-8757-298474C850E3}"/>
    <cellStyle name="Comma 2 124 2 2 4" xfId="154" xr:uid="{1C2B5B05-E0B7-4FE2-88A2-97DD58F9A6B4}"/>
    <cellStyle name="Comma 2 124 3" xfId="39" xr:uid="{6256C3D4-2DD5-4D6E-9F58-07812ECB16BD}"/>
    <cellStyle name="Comma 2 124 3 2" xfId="78" xr:uid="{F3BB825C-6D11-4B87-A44B-62BA19F380E0}"/>
    <cellStyle name="Comma 2 124 3 2 2" xfId="126" xr:uid="{B6A6EE4B-0FB1-45BC-965E-EB6F14934848}"/>
    <cellStyle name="Comma 2 124 3 3" xfId="107" xr:uid="{8CA4F740-E7BC-4E8B-A2CE-35B56BCD3BA3}"/>
    <cellStyle name="Comma 2 124 3 4" xfId="150" xr:uid="{26FE58FF-0F1E-4000-AA28-679C2E6FEA0D}"/>
    <cellStyle name="Comma 2 124 4" xfId="71" xr:uid="{23D6D3E3-756B-411F-A838-4DA4F653BD4B}"/>
    <cellStyle name="Comma 2 124 4 2" xfId="119" xr:uid="{35C809CB-9CB0-441C-93E7-6C749A939CB2}"/>
    <cellStyle name="Comma 2 124 5" xfId="91" xr:uid="{F164CB7A-6725-4731-8A3C-EC0E3E3CF78D}"/>
    <cellStyle name="Comma 2 124 5 2" xfId="139" xr:uid="{67CAC063-4418-4164-AED7-B46D5872B30E}"/>
    <cellStyle name="Comma 2 124 6" xfId="100" xr:uid="{C032BB7F-43F7-4437-8C2A-0A69254DD541}"/>
    <cellStyle name="Comma 2 124 7" xfId="143" xr:uid="{62411E45-DFE2-4D90-B337-ACF7491272B9}"/>
    <cellStyle name="Comma 2 2" xfId="40" xr:uid="{EADB5E90-601C-49F5-B92F-4A7C947FC579}"/>
    <cellStyle name="Comma 2 2 2" xfId="79" xr:uid="{B2F49564-4731-4872-AB5E-C52570B1575E}"/>
    <cellStyle name="Comma 2 2 2 2" xfId="127" xr:uid="{7AD7E2F7-9435-4579-889D-0A39C1BB4B69}"/>
    <cellStyle name="Comma 2 2 3" xfId="108" xr:uid="{951FDBEA-FE9C-4DCF-B711-B44758830604}"/>
    <cellStyle name="Comma 2 2 4" xfId="151" xr:uid="{C17CB5E4-DF95-42FA-A867-C18D0C2DD0CA}"/>
    <cellStyle name="Comma 2 23" xfId="66" xr:uid="{F04B9EFA-7461-4E87-A66D-8091B70FAF71}"/>
    <cellStyle name="Comma 2 23 2" xfId="89" xr:uid="{F77E071E-06CF-4172-8DAB-B78E8B47D4C4}"/>
    <cellStyle name="Comma 2 23 2 2" xfId="137" xr:uid="{37149BEB-AFF8-4258-A8E2-450632BFA75D}"/>
    <cellStyle name="Comma 2 23 3" xfId="117" xr:uid="{564FEDFE-317A-4DB6-9F0A-956DB3C549E0}"/>
    <cellStyle name="Comma 2 23 4" xfId="160" xr:uid="{46B03A70-68CF-40D8-9CCC-FE2C093BB8F8}"/>
    <cellStyle name="Comma 2 3" xfId="72" xr:uid="{DFC178DF-C051-4A20-B982-407E9F3B7CC9}"/>
    <cellStyle name="Comma 2 3 2" xfId="120" xr:uid="{FDABBEE9-F064-4E1D-80F6-095536C74EDB}"/>
    <cellStyle name="Comma 2 3 86" xfId="28" xr:uid="{3AF9A75C-75CB-48E1-AA71-0EC6F5B8988C}"/>
    <cellStyle name="Comma 2 3 86 2" xfId="42" xr:uid="{CCEFECBB-8FB2-435E-9D49-E4C0AD3750D0}"/>
    <cellStyle name="Comma 2 3 86 2 2" xfId="81" xr:uid="{662760A2-8840-428C-9DEE-8CC1C13DD5C1}"/>
    <cellStyle name="Comma 2 3 86 2 2 2" xfId="129" xr:uid="{1798DB64-9119-491B-93C0-1B7CC72BBA95}"/>
    <cellStyle name="Comma 2 3 86 2 3" xfId="110" xr:uid="{BE5737ED-1C8F-4BFE-BACA-95A90F07C9B3}"/>
    <cellStyle name="Comma 2 3 86 2 4" xfId="153" xr:uid="{A8B4DB56-5D88-48F4-A725-EFA121AF767F}"/>
    <cellStyle name="Comma 2 3 86 3" xfId="73" xr:uid="{48C3402D-1FD9-43B4-BA66-A25B298830DC}"/>
    <cellStyle name="Comma 2 3 86 3 2" xfId="121" xr:uid="{D53BB33F-3E4F-4987-B3A4-8B996E8D7B1D}"/>
    <cellStyle name="Comma 2 3 86 4" xfId="92" xr:uid="{0B9D11F1-E732-4623-9F76-532484870359}"/>
    <cellStyle name="Comma 2 3 86 4 2" xfId="140" xr:uid="{36DC30E5-11A8-4758-BCD0-F67E4B662252}"/>
    <cellStyle name="Comma 2 3 86 5" xfId="102" xr:uid="{7944D2C0-14C6-4EEB-95E2-6EE4BEBDBA59}"/>
    <cellStyle name="Comma 2 3 86 6" xfId="145" xr:uid="{1A31E24E-71FC-49B1-A698-F6A3646813C1}"/>
    <cellStyle name="Comma 2 4" xfId="32" xr:uid="{648DA2B4-8C53-4BDC-B856-0DDB7E9FDFAF}"/>
    <cellStyle name="Comma 2 4 2" xfId="45" xr:uid="{E41B8BD3-F484-4773-9016-EB472FE4EC8E}"/>
    <cellStyle name="Comma 2 4 2 2" xfId="84" xr:uid="{07691099-E193-43CA-93B7-E021834BC634}"/>
    <cellStyle name="Comma 2 4 2 2 2" xfId="132" xr:uid="{399BEA0B-E675-4841-80EC-1AD637B0B7DE}"/>
    <cellStyle name="Comma 2 4 2 3" xfId="113" xr:uid="{8458DAFC-C20A-40EC-A585-D439FB2FDEE4}"/>
    <cellStyle name="Comma 2 4 2 4" xfId="156" xr:uid="{E2282300-8620-4438-B48D-5E5DFFC76879}"/>
    <cellStyle name="Comma 2 4 3" xfId="74" xr:uid="{9481746F-0497-4D32-8299-82C8CF011BDB}"/>
    <cellStyle name="Comma 2 4 3 2" xfId="122" xr:uid="{060A549F-E95A-431E-89D5-5C928CD406DD}"/>
    <cellStyle name="Comma 2 4 4" xfId="103" xr:uid="{55D9565A-7FA2-4640-BC0A-B524E8F3E7D6}"/>
    <cellStyle name="Comma 2 4 5" xfId="146" xr:uid="{AC107205-2D86-43E3-BAFB-8E3B8519B3CD}"/>
    <cellStyle name="Comma 2 5" xfId="95" xr:uid="{61AE64AC-3382-459C-B4BF-E97D2D357496}"/>
    <cellStyle name="Comma 2 5 2" xfId="141" xr:uid="{AFCF69F3-906C-4C2A-8564-8A15D62696D7}"/>
    <cellStyle name="Comma 2 6" xfId="101" xr:uid="{644C97D0-BDE8-4761-BA76-CE29A21B2F92}"/>
    <cellStyle name="Comma 2 7" xfId="144" xr:uid="{04D69332-3041-4FCD-BBD2-63E08B8EAFA9}"/>
    <cellStyle name="Comma 3" xfId="27" xr:uid="{E4C9941C-0CD0-45EF-A259-59107238CD72}"/>
    <cellStyle name="Comma 3 101" xfId="29" xr:uid="{EA4CA99E-33ED-49CD-B203-87676805FE3C}"/>
    <cellStyle name="Comma 3 2" xfId="36" xr:uid="{FC1C944F-9202-4D80-AE59-D3F28E84A377}"/>
    <cellStyle name="Comma 3 2 2" xfId="47" xr:uid="{277C15A0-C977-485F-9AB3-8311178BF374}"/>
    <cellStyle name="Comma 3 2 2 2" xfId="86" xr:uid="{D4845D5F-6297-493B-B05C-6BCE07328707}"/>
    <cellStyle name="Comma 3 2 2 2 2" xfId="134" xr:uid="{3FDE99CE-65EA-453D-9DD3-07D5CEF96B57}"/>
    <cellStyle name="Comma 3 2 2 3" xfId="115" xr:uid="{ADDD04E5-E4A2-40B0-A594-138BC416604A}"/>
    <cellStyle name="Comma 3 2 2 4" xfId="158" xr:uid="{ADA09DD1-F2BF-46F0-89EF-7824B8843F2A}"/>
    <cellStyle name="Comma 3 2 3" xfId="76" xr:uid="{EA742C47-B3E3-4E05-A997-C506A8FD5102}"/>
    <cellStyle name="Comma 3 2 3 2" xfId="124" xr:uid="{269718BE-9170-41B2-ACFD-99DB7837DC95}"/>
    <cellStyle name="Comma 3 2 4" xfId="105" xr:uid="{41F635D8-31B4-4A2F-894C-E031726BFFC4}"/>
    <cellStyle name="Comma 3 2 5" xfId="148" xr:uid="{C636A7AE-008F-4350-A7FF-97DE56A70EE8}"/>
    <cellStyle name="Comma 4" xfId="38" xr:uid="{05454AC6-6801-4F0C-9FEB-2DF6D0979FA2}"/>
    <cellStyle name="Comma 4 2" xfId="77" xr:uid="{CE1F6295-E2AA-4FE7-93BF-558DD03C01D2}"/>
    <cellStyle name="Comma 4 2 2" xfId="125" xr:uid="{298C7645-105C-4E56-BCE9-D4E1E472CC27}"/>
    <cellStyle name="Comma 4 3" xfId="106" xr:uid="{CF6B41FD-6660-4033-8E9D-2C45BEA4FDEC}"/>
    <cellStyle name="Comma 4 4" xfId="149" xr:uid="{8FCE676C-2954-4537-A465-C51FFD07CA07}"/>
    <cellStyle name="Comma 5" xfId="4" xr:uid="{0FF77BC8-5F93-44FF-9DF2-ED29A8389E94}"/>
    <cellStyle name="Comma 5 2" xfId="118" xr:uid="{5E6E334B-F590-4229-99D8-B81048CC8672}"/>
    <cellStyle name="Comma 6" xfId="90" xr:uid="{FEC03F2E-D318-4E67-9DA6-716CDE8E19BB}"/>
    <cellStyle name="Comma 6 2" xfId="138" xr:uid="{46BB6A9A-1992-46E8-B905-32213DFBF65D}"/>
    <cellStyle name="Comma 7" xfId="19" xr:uid="{2248B947-E9E6-458E-BF41-5284F122B1E0}"/>
    <cellStyle name="Comma 7 2" xfId="41" xr:uid="{27A8B926-00AA-4716-9CCF-30BF098A7253}"/>
    <cellStyle name="Comma 7 2 2" xfId="80" xr:uid="{348DC553-2DF6-4EF0-9273-FD173960B295}"/>
    <cellStyle name="Comma 7 2 2 2" xfId="128" xr:uid="{146C9A76-3ABB-4FE1-AD37-DD0FFEC7B54F}"/>
    <cellStyle name="Comma 7 2 3" xfId="109" xr:uid="{9B4B107C-EC01-4669-997B-9F2A81429B1E}"/>
    <cellStyle name="Comma 7 2 4" xfId="152" xr:uid="{9FF2F0B4-7B2F-4039-9F35-03DCC0ED245C}"/>
    <cellStyle name="Comma 8" xfId="99" xr:uid="{05A2EC26-EF02-4F86-B073-404B8641F454}"/>
    <cellStyle name="Comma 9" xfId="142" xr:uid="{DA66A303-E542-4D22-9E64-FAF6256258B8}"/>
    <cellStyle name="Hyperlink" xfId="1" builtinId="8"/>
    <cellStyle name="Indian Comma" xfId="25" xr:uid="{6EC22827-C830-4F05-B830-B1D9CA67E242}"/>
    <cellStyle name="Normal" xfId="0" builtinId="0"/>
    <cellStyle name="Normal 11" xfId="6" xr:uid="{F31ABC73-42EE-4638-9971-D6949BCE9578}"/>
    <cellStyle name="Normal 11 10" xfId="67" xr:uid="{24B98D90-55A1-4981-9D9F-01FBA3D82820}"/>
    <cellStyle name="Normal 11 2" xfId="18" xr:uid="{CB8938FC-C044-46E5-8003-29BDF943966E}"/>
    <cellStyle name="Normal 12 3 3" xfId="10" xr:uid="{53D518DD-045D-4FF4-BAA1-72547D0569BA}"/>
    <cellStyle name="Normal 12 3 3 2" xfId="22" xr:uid="{F464F869-A65A-4A35-A965-18DDA2777D1F}"/>
    <cellStyle name="Normal 13 27" xfId="70" xr:uid="{25012AC4-EF24-4DF2-812B-1E329EFE0C98}"/>
    <cellStyle name="Normal 19" xfId="93" xr:uid="{2265ECB3-7233-4BA0-AC21-B528446ADD66}"/>
    <cellStyle name="Normal 2" xfId="14" xr:uid="{7EB04B4A-2A7C-46C0-A92A-12D679CECD9C}"/>
    <cellStyle name="Normal 2 10" xfId="50" xr:uid="{AF3D4113-78A4-4093-A4DB-659D8F24D579}"/>
    <cellStyle name="Normal 2 134" xfId="21" xr:uid="{8E22E860-4DF6-4639-AE9F-4A1FE1BFF460}"/>
    <cellStyle name="Normal 2 134 10" xfId="62" xr:uid="{61FA6668-64FC-49FB-BC20-E1E7F4DFBDD2}"/>
    <cellStyle name="Normal 2 134 2" xfId="53" xr:uid="{B866D7BF-B29F-4393-8D51-619FDFFAACFC}"/>
    <cellStyle name="Normal 2 134 3" xfId="56" xr:uid="{E2822692-0484-4C6C-86F9-48272344B3F8}"/>
    <cellStyle name="Normal 2 134 4" xfId="52" xr:uid="{05BB5114-0D0D-463A-9A6F-A7F970487DA4}"/>
    <cellStyle name="Normal 2 134 5" xfId="57" xr:uid="{2DC393DE-3ACC-4266-A5DC-4989FF1462BB}"/>
    <cellStyle name="Normal 2 134 6" xfId="58" xr:uid="{6D0C37B3-B74A-4B6F-9749-FAC9F5A8FAB0}"/>
    <cellStyle name="Normal 2 134 7" xfId="59" xr:uid="{7A804CBF-919F-4E2A-B4B6-EE1C53F44848}"/>
    <cellStyle name="Normal 2 134 8" xfId="60" xr:uid="{E24E599D-5370-4A10-A713-00C178232470}"/>
    <cellStyle name="Normal 2 134 9" xfId="61" xr:uid="{E2BB9910-FEDE-49D5-8E14-100E1D8A4F6B}"/>
    <cellStyle name="Normal 2 16 2" xfId="65" xr:uid="{81F03988-7E61-4658-B767-9464FBF61B98}"/>
    <cellStyle name="Normal 2 17" xfId="64" xr:uid="{A5D30139-E6DB-41BB-97D5-85A116A0BC8D}"/>
    <cellStyle name="Normal 2 18 2" xfId="11" xr:uid="{126ED360-E731-46F7-841E-ECC7C1747E85}"/>
    <cellStyle name="Normal 2 2" xfId="8" xr:uid="{F9019EDB-46E4-4671-A6BB-B723CBA615DB}"/>
    <cellStyle name="Normal 2 2 2" xfId="69" xr:uid="{E89ECF5E-7E0F-4273-990A-7758B838F394}"/>
    <cellStyle name="Normal 21" xfId="94" xr:uid="{C6D8FF1E-DEA3-4392-A535-DB915D6CAD8A}"/>
    <cellStyle name="Normal 22" xfId="98" xr:uid="{B716340B-B37E-4498-A32C-A79A558FE1BD}"/>
    <cellStyle name="Normal 23 2" xfId="20" xr:uid="{2DC6C139-D448-4E35-A066-CC6941C9CD9D}"/>
    <cellStyle name="Normal 3" xfId="16" xr:uid="{9BA490A0-B0B1-4C89-B7AD-1DBCCF45DC51}"/>
    <cellStyle name="Normal 3 144" xfId="26" xr:uid="{2D92AB9E-1DC4-4FDE-BB6E-7E251930247F}"/>
    <cellStyle name="Normal 3 2" xfId="96" xr:uid="{41EEF658-1E65-4281-88CB-8E867E118850}"/>
    <cellStyle name="Normal 30" xfId="49" xr:uid="{C7FA03A4-1758-4903-97DE-C5763BDF586A}"/>
    <cellStyle name="Normal 34 2" xfId="17" xr:uid="{25CF6134-B793-4993-AC07-68B65103B6F2}"/>
    <cellStyle name="Normal 4" xfId="7" xr:uid="{D91F91F2-23A9-43FD-90E3-B4898AF7D5DF}"/>
    <cellStyle name="Normal 4 2" xfId="68" xr:uid="{89710D56-657C-483A-B975-09152C68C20A}"/>
    <cellStyle name="Normal 41" xfId="5" xr:uid="{FA6F5168-8A4E-4F01-B754-22E3D42A94E6}"/>
    <cellStyle name="Normal 5 10" xfId="24" xr:uid="{3C47F97D-7E4C-43E6-98F5-98BEFA4D8904}"/>
    <cellStyle name="Normal 5 10 2" xfId="55" xr:uid="{9A2EC694-51CD-4D05-AD30-AE2865195CA7}"/>
    <cellStyle name="Normal 7" xfId="33" xr:uid="{59158024-17B2-46BD-9E55-4AD3D5D38A3D}"/>
    <cellStyle name="Normal 8" xfId="23" xr:uid="{F4126C61-FED6-49B3-AEC8-AC3DF1446E4A}"/>
    <cellStyle name="Normal 8 2" xfId="54" xr:uid="{6F726836-9D2B-46ED-9CE7-942FA4B5925F}"/>
    <cellStyle name="Percent" xfId="3" builtinId="5"/>
    <cellStyle name="Percent 2" xfId="12" xr:uid="{2A704D84-5795-4337-AFA5-F18DA127CDB5}"/>
    <cellStyle name="Percent 2 2" xfId="97" xr:uid="{9340C1C6-4057-49CC-ABF8-F6E1DE6035FE}"/>
    <cellStyle name="Percent 3" xfId="63" xr:uid="{20E1B733-0338-420A-B441-F1BECD32185B}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ddhantsawant\Downloads\isc_report1C_2627%20(3).xls" TargetMode="External"/><Relationship Id="rId1" Type="http://schemas.openxmlformats.org/officeDocument/2006/relationships/externalLinkPath" Target="file:///C:\Users\siddhantsawant\Downloads\isc_report1C_2627%20(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sc_report1C_2627_300926"/>
    </sheetNames>
    <sheetDataSet>
      <sheetData sheetId="0">
        <row r="10">
          <cell r="B10" t="str">
            <v>Groww Invest Tech Private Limited</v>
          </cell>
          <cell r="C10" t="str">
            <v>No</v>
          </cell>
          <cell r="D10">
            <v>44850590</v>
          </cell>
          <cell r="E10">
            <v>713</v>
          </cell>
          <cell r="F10">
            <v>528</v>
          </cell>
          <cell r="G10">
            <v>0</v>
          </cell>
          <cell r="H10">
            <v>0</v>
          </cell>
          <cell r="I10">
            <v>185</v>
          </cell>
          <cell r="J10">
            <v>13448194</v>
          </cell>
        </row>
        <row r="11">
          <cell r="B11" t="str">
            <v>Angel One Limited</v>
          </cell>
          <cell r="C11" t="str">
            <v>No</v>
          </cell>
          <cell r="D11">
            <v>39655653</v>
          </cell>
          <cell r="E11">
            <v>658</v>
          </cell>
          <cell r="F11">
            <v>486</v>
          </cell>
          <cell r="G11">
            <v>0</v>
          </cell>
          <cell r="H11">
            <v>0</v>
          </cell>
          <cell r="I11">
            <v>172</v>
          </cell>
          <cell r="J11">
            <v>6755711</v>
          </cell>
        </row>
        <row r="12">
          <cell r="B12" t="str">
            <v>Upstox Securities Private Limited</v>
          </cell>
          <cell r="C12" t="str">
            <v>No</v>
          </cell>
          <cell r="D12">
            <v>19750654</v>
          </cell>
          <cell r="E12">
            <v>514</v>
          </cell>
          <cell r="F12">
            <v>448</v>
          </cell>
          <cell r="G12">
            <v>0</v>
          </cell>
          <cell r="H12">
            <v>0</v>
          </cell>
          <cell r="I12">
            <v>66</v>
          </cell>
          <cell r="J12">
            <v>1854285</v>
          </cell>
        </row>
        <row r="13">
          <cell r="B13" t="str">
            <v>Motilal Oswal Financial Services Limited</v>
          </cell>
          <cell r="C13" t="str">
            <v>No</v>
          </cell>
          <cell r="D13">
            <v>5440425</v>
          </cell>
          <cell r="E13">
            <v>417</v>
          </cell>
          <cell r="F13">
            <v>346</v>
          </cell>
          <cell r="G13">
            <v>0</v>
          </cell>
          <cell r="H13">
            <v>0</v>
          </cell>
          <cell r="I13">
            <v>71</v>
          </cell>
          <cell r="J13">
            <v>908987</v>
          </cell>
        </row>
        <row r="14">
          <cell r="B14" t="str">
            <v>Icici Securities Limited</v>
          </cell>
          <cell r="C14" t="str">
            <v>No</v>
          </cell>
          <cell r="D14">
            <v>12942453</v>
          </cell>
          <cell r="E14">
            <v>410</v>
          </cell>
          <cell r="F14">
            <v>331</v>
          </cell>
          <cell r="G14">
            <v>0</v>
          </cell>
          <cell r="H14">
            <v>0</v>
          </cell>
          <cell r="I14">
            <v>79</v>
          </cell>
          <cell r="J14">
            <v>2160619</v>
          </cell>
        </row>
        <row r="15">
          <cell r="B15" t="str">
            <v>Zerodha Broking Limited</v>
          </cell>
          <cell r="C15" t="str">
            <v>No</v>
          </cell>
          <cell r="D15">
            <v>18034811</v>
          </cell>
          <cell r="E15">
            <v>378</v>
          </cell>
          <cell r="F15">
            <v>323</v>
          </cell>
          <cell r="G15">
            <v>0</v>
          </cell>
          <cell r="H15">
            <v>0</v>
          </cell>
          <cell r="I15">
            <v>55</v>
          </cell>
          <cell r="J15">
            <v>6791541</v>
          </cell>
        </row>
        <row r="16">
          <cell r="B16" t="str">
            <v>Kotak Securities Ltd.</v>
          </cell>
          <cell r="C16" t="str">
            <v>No</v>
          </cell>
          <cell r="D16">
            <v>7469769</v>
          </cell>
          <cell r="E16">
            <v>295</v>
          </cell>
          <cell r="F16">
            <v>251</v>
          </cell>
          <cell r="G16">
            <v>0</v>
          </cell>
          <cell r="H16">
            <v>0</v>
          </cell>
          <cell r="I16">
            <v>44</v>
          </cell>
          <cell r="J16">
            <v>1391840</v>
          </cell>
        </row>
        <row r="17">
          <cell r="B17" t="str">
            <v>Iifl Capital Services Ltd.</v>
          </cell>
          <cell r="C17" t="str">
            <v>No</v>
          </cell>
          <cell r="D17">
            <v>3593990</v>
          </cell>
          <cell r="E17">
            <v>221</v>
          </cell>
          <cell r="F17">
            <v>186</v>
          </cell>
          <cell r="G17">
            <v>0</v>
          </cell>
          <cell r="H17">
            <v>0</v>
          </cell>
          <cell r="I17">
            <v>35</v>
          </cell>
          <cell r="J17">
            <v>340957</v>
          </cell>
        </row>
        <row r="18">
          <cell r="B18" t="str">
            <v>Hdfc Securities Ltd.</v>
          </cell>
          <cell r="C18" t="str">
            <v>No</v>
          </cell>
          <cell r="D18">
            <v>10047007</v>
          </cell>
          <cell r="E18">
            <v>210</v>
          </cell>
          <cell r="F18">
            <v>163</v>
          </cell>
          <cell r="G18">
            <v>0</v>
          </cell>
          <cell r="H18">
            <v>0</v>
          </cell>
          <cell r="I18">
            <v>47</v>
          </cell>
          <cell r="J18">
            <v>1353843</v>
          </cell>
        </row>
        <row r="19">
          <cell r="B19" t="str">
            <v>Sbicap Securities Limited</v>
          </cell>
          <cell r="C19" t="str">
            <v>No</v>
          </cell>
          <cell r="D19">
            <v>8630814</v>
          </cell>
          <cell r="E19">
            <v>169</v>
          </cell>
          <cell r="F19">
            <v>138</v>
          </cell>
          <cell r="G19">
            <v>0</v>
          </cell>
          <cell r="H19">
            <v>0</v>
          </cell>
          <cell r="I19">
            <v>31</v>
          </cell>
          <cell r="J19">
            <v>1021295</v>
          </cell>
        </row>
        <row r="20">
          <cell r="B20" t="str">
            <v>Mirae Asset Capital Markets ( India ) Private Limited</v>
          </cell>
          <cell r="C20" t="str">
            <v>No</v>
          </cell>
          <cell r="D20">
            <v>2487753</v>
          </cell>
          <cell r="E20">
            <v>163</v>
          </cell>
          <cell r="F20">
            <v>150</v>
          </cell>
          <cell r="G20">
            <v>0</v>
          </cell>
          <cell r="H20">
            <v>0</v>
          </cell>
          <cell r="I20">
            <v>13</v>
          </cell>
          <cell r="J20">
            <v>183789</v>
          </cell>
        </row>
        <row r="21">
          <cell r="B21" t="str">
            <v>Sharekhan Ltd.</v>
          </cell>
          <cell r="C21" t="str">
            <v>No</v>
          </cell>
          <cell r="D21">
            <v>3700510</v>
          </cell>
          <cell r="E21">
            <v>127</v>
          </cell>
          <cell r="F21">
            <v>102</v>
          </cell>
          <cell r="G21">
            <v>0</v>
          </cell>
          <cell r="H21">
            <v>0</v>
          </cell>
          <cell r="I21">
            <v>25</v>
          </cell>
          <cell r="J21">
            <v>527503</v>
          </cell>
        </row>
        <row r="22">
          <cell r="B22" t="str">
            <v>Choice Equity Broking Private Limited</v>
          </cell>
          <cell r="C22" t="str">
            <v>No</v>
          </cell>
          <cell r="D22">
            <v>1273149</v>
          </cell>
          <cell r="E22">
            <v>123</v>
          </cell>
          <cell r="F22">
            <v>107</v>
          </cell>
          <cell r="G22">
            <v>0</v>
          </cell>
          <cell r="H22">
            <v>0</v>
          </cell>
          <cell r="I22">
            <v>16</v>
          </cell>
          <cell r="J22">
            <v>242106</v>
          </cell>
        </row>
        <row r="23">
          <cell r="B23" t="str">
            <v>Raise Securities Private Limited (formerly Known As Moneylicious Securities Private Limited) (dhan App)</v>
          </cell>
          <cell r="C23" t="str">
            <v>No</v>
          </cell>
          <cell r="D23">
            <v>3533560</v>
          </cell>
          <cell r="E23">
            <v>120</v>
          </cell>
          <cell r="F23">
            <v>95</v>
          </cell>
          <cell r="G23">
            <v>0</v>
          </cell>
          <cell r="H23">
            <v>0</v>
          </cell>
          <cell r="I23">
            <v>25</v>
          </cell>
          <cell r="J23">
            <v>1120901</v>
          </cell>
        </row>
        <row r="24">
          <cell r="B24" t="str">
            <v>Axis Securities Limited</v>
          </cell>
          <cell r="C24" t="str">
            <v>No</v>
          </cell>
          <cell r="D24">
            <v>6763957</v>
          </cell>
          <cell r="E24">
            <v>103</v>
          </cell>
          <cell r="F24">
            <v>89</v>
          </cell>
          <cell r="G24">
            <v>0</v>
          </cell>
          <cell r="H24">
            <v>0</v>
          </cell>
          <cell r="I24">
            <v>14</v>
          </cell>
          <cell r="J24">
            <v>428144</v>
          </cell>
        </row>
        <row r="25">
          <cell r="B25" t="str">
            <v>Nu Investors Technologies Private Limited (lemonn)</v>
          </cell>
          <cell r="C25" t="str">
            <v>No</v>
          </cell>
          <cell r="D25">
            <v>602548</v>
          </cell>
          <cell r="E25">
            <v>94</v>
          </cell>
          <cell r="F25">
            <v>75</v>
          </cell>
          <cell r="G25">
            <v>0</v>
          </cell>
          <cell r="H25">
            <v>0</v>
          </cell>
          <cell r="I25">
            <v>19</v>
          </cell>
          <cell r="J25">
            <v>152255</v>
          </cell>
        </row>
        <row r="26">
          <cell r="B26" t="str">
            <v>Paytm Money Ltd.</v>
          </cell>
          <cell r="C26" t="str">
            <v>No</v>
          </cell>
          <cell r="D26">
            <v>6543162</v>
          </cell>
          <cell r="E26">
            <v>92</v>
          </cell>
          <cell r="F26">
            <v>73</v>
          </cell>
          <cell r="G26">
            <v>0</v>
          </cell>
          <cell r="H26">
            <v>0</v>
          </cell>
          <cell r="I26">
            <v>19</v>
          </cell>
          <cell r="J26">
            <v>762793</v>
          </cell>
        </row>
        <row r="27">
          <cell r="B27" t="str">
            <v>Anand Rathi Share And Stock Brokers Limited</v>
          </cell>
          <cell r="C27" t="str">
            <v>No</v>
          </cell>
          <cell r="D27">
            <v>781652</v>
          </cell>
          <cell r="E27">
            <v>91</v>
          </cell>
          <cell r="F27">
            <v>76</v>
          </cell>
          <cell r="G27">
            <v>0</v>
          </cell>
          <cell r="H27">
            <v>0</v>
          </cell>
          <cell r="I27">
            <v>15</v>
          </cell>
          <cell r="J27">
            <v>153235</v>
          </cell>
        </row>
        <row r="28">
          <cell r="B28" t="str">
            <v>Jainam Broking Limited</v>
          </cell>
          <cell r="C28" t="str">
            <v>No</v>
          </cell>
          <cell r="D28">
            <v>399819</v>
          </cell>
          <cell r="E28">
            <v>87</v>
          </cell>
          <cell r="F28">
            <v>83</v>
          </cell>
          <cell r="G28">
            <v>0</v>
          </cell>
          <cell r="H28">
            <v>0</v>
          </cell>
          <cell r="I28">
            <v>4</v>
          </cell>
          <cell r="J28">
            <v>153962</v>
          </cell>
        </row>
        <row r="29">
          <cell r="B29" t="str">
            <v>Tradebulls Securities (p) Ltd.</v>
          </cell>
          <cell r="C29" t="str">
            <v>No</v>
          </cell>
          <cell r="D29">
            <v>349014</v>
          </cell>
          <cell r="E29">
            <v>83</v>
          </cell>
          <cell r="F29">
            <v>76</v>
          </cell>
          <cell r="G29">
            <v>0</v>
          </cell>
          <cell r="H29">
            <v>0</v>
          </cell>
          <cell r="I29">
            <v>7</v>
          </cell>
          <cell r="J29">
            <v>78255</v>
          </cell>
        </row>
        <row r="30">
          <cell r="B30" t="str">
            <v>Smc Global Securities Ltd.</v>
          </cell>
          <cell r="C30" t="str">
            <v>No</v>
          </cell>
          <cell r="D30">
            <v>912373</v>
          </cell>
          <cell r="E30">
            <v>73</v>
          </cell>
          <cell r="F30">
            <v>62</v>
          </cell>
          <cell r="G30">
            <v>0</v>
          </cell>
          <cell r="H30">
            <v>0</v>
          </cell>
          <cell r="I30">
            <v>11</v>
          </cell>
          <cell r="J30">
            <v>159588</v>
          </cell>
        </row>
        <row r="31">
          <cell r="B31" t="str">
            <v>Nirmal Bang Securities Pvt. Ltd.</v>
          </cell>
          <cell r="C31" t="str">
            <v>No</v>
          </cell>
          <cell r="D31">
            <v>594423</v>
          </cell>
          <cell r="E31">
            <v>70</v>
          </cell>
          <cell r="F31">
            <v>55</v>
          </cell>
          <cell r="G31">
            <v>0</v>
          </cell>
          <cell r="H31">
            <v>0</v>
          </cell>
          <cell r="I31">
            <v>15</v>
          </cell>
          <cell r="J31">
            <v>135500</v>
          </cell>
        </row>
        <row r="32">
          <cell r="B32" t="str">
            <v>Finsol Securities Private Limited</v>
          </cell>
          <cell r="C32" t="str">
            <v>No</v>
          </cell>
          <cell r="D32">
            <v>2</v>
          </cell>
          <cell r="E32">
            <v>65</v>
          </cell>
          <cell r="F32">
            <v>63</v>
          </cell>
          <cell r="G32">
            <v>0</v>
          </cell>
          <cell r="H32">
            <v>0</v>
          </cell>
          <cell r="I32">
            <v>2</v>
          </cell>
          <cell r="J32">
            <v>1</v>
          </cell>
        </row>
        <row r="33">
          <cell r="B33" t="str">
            <v>Gopocket Invest Tech Private Limited (formerly Known As Sky Commodities India Pvt Ltd)</v>
          </cell>
          <cell r="C33" t="str">
            <v>No</v>
          </cell>
          <cell r="D33">
            <v>50666</v>
          </cell>
          <cell r="E33">
            <v>64</v>
          </cell>
          <cell r="F33">
            <v>62</v>
          </cell>
          <cell r="G33">
            <v>0</v>
          </cell>
          <cell r="H33">
            <v>0</v>
          </cell>
          <cell r="I33">
            <v>2</v>
          </cell>
          <cell r="J33">
            <v>14483</v>
          </cell>
        </row>
        <row r="34">
          <cell r="B34" t="str">
            <v>Religare Broking Limited</v>
          </cell>
          <cell r="C34" t="str">
            <v>No</v>
          </cell>
          <cell r="D34">
            <v>1389069</v>
          </cell>
          <cell r="E34">
            <v>64</v>
          </cell>
          <cell r="F34">
            <v>49</v>
          </cell>
          <cell r="G34">
            <v>0</v>
          </cell>
          <cell r="H34">
            <v>0</v>
          </cell>
          <cell r="I34">
            <v>15</v>
          </cell>
          <cell r="J34">
            <v>125814</v>
          </cell>
        </row>
        <row r="35">
          <cell r="B35" t="str">
            <v>Moneywise Finvest Limited (Stoxkart)</v>
          </cell>
          <cell r="C35" t="str">
            <v>No</v>
          </cell>
          <cell r="D35">
            <v>366939</v>
          </cell>
          <cell r="E35">
            <v>58</v>
          </cell>
          <cell r="F35">
            <v>43</v>
          </cell>
          <cell r="G35">
            <v>0</v>
          </cell>
          <cell r="H35">
            <v>0</v>
          </cell>
          <cell r="I35">
            <v>15</v>
          </cell>
          <cell r="J35">
            <v>81373</v>
          </cell>
        </row>
        <row r="36">
          <cell r="B36" t="str">
            <v>Indiabulls Securities Limited (formerly Known As Dhani Stocks Limited)</v>
          </cell>
          <cell r="C36" t="str">
            <v>No</v>
          </cell>
          <cell r="D36">
            <v>893891</v>
          </cell>
          <cell r="E36">
            <v>57</v>
          </cell>
          <cell r="F36">
            <v>48</v>
          </cell>
          <cell r="G36">
            <v>0</v>
          </cell>
          <cell r="H36">
            <v>0</v>
          </cell>
          <cell r="I36">
            <v>9</v>
          </cell>
          <cell r="J36">
            <v>61352</v>
          </cell>
        </row>
        <row r="37">
          <cell r="B37" t="str">
            <v>Samco Securities Limited</v>
          </cell>
          <cell r="C37" t="str">
            <v>No</v>
          </cell>
          <cell r="D37">
            <v>577906</v>
          </cell>
          <cell r="E37">
            <v>54</v>
          </cell>
          <cell r="F37">
            <v>44</v>
          </cell>
          <cell r="G37">
            <v>0</v>
          </cell>
          <cell r="H37">
            <v>0</v>
          </cell>
          <cell r="I37">
            <v>10</v>
          </cell>
          <cell r="J37">
            <v>52444</v>
          </cell>
        </row>
        <row r="38">
          <cell r="B38" t="str">
            <v>Indstocks Private Limited</v>
          </cell>
          <cell r="C38" t="str">
            <v>No</v>
          </cell>
          <cell r="D38">
            <v>4756180</v>
          </cell>
          <cell r="E38">
            <v>53</v>
          </cell>
          <cell r="F38">
            <v>42</v>
          </cell>
          <cell r="G38">
            <v>0</v>
          </cell>
          <cell r="H38">
            <v>0</v>
          </cell>
          <cell r="I38">
            <v>11</v>
          </cell>
          <cell r="J38">
            <v>718725</v>
          </cell>
        </row>
        <row r="39">
          <cell r="B39" t="str">
            <v>Dhan Stock &amp; Share Brokers Pvt. Ltd.</v>
          </cell>
          <cell r="C39" t="str">
            <v>No</v>
          </cell>
          <cell r="D39">
            <v>230</v>
          </cell>
          <cell r="E39">
            <v>51</v>
          </cell>
          <cell r="F39">
            <v>48</v>
          </cell>
          <cell r="G39">
            <v>0</v>
          </cell>
          <cell r="H39">
            <v>0</v>
          </cell>
          <cell r="I39">
            <v>3</v>
          </cell>
          <cell r="J39">
            <v>27</v>
          </cell>
        </row>
        <row r="40">
          <cell r="B40" t="str">
            <v>Fyers Securities Private Limited</v>
          </cell>
          <cell r="C40" t="str">
            <v>No</v>
          </cell>
          <cell r="D40">
            <v>1065788</v>
          </cell>
          <cell r="E40">
            <v>50</v>
          </cell>
          <cell r="F40">
            <v>39</v>
          </cell>
          <cell r="G40">
            <v>0</v>
          </cell>
          <cell r="H40">
            <v>0</v>
          </cell>
          <cell r="I40">
            <v>11</v>
          </cell>
          <cell r="J40">
            <v>197380</v>
          </cell>
        </row>
        <row r="41">
          <cell r="B41" t="str">
            <v>Finvasia Securities Private Limited</v>
          </cell>
          <cell r="C41" t="str">
            <v>No</v>
          </cell>
          <cell r="D41">
            <v>512274</v>
          </cell>
          <cell r="E41">
            <v>49</v>
          </cell>
          <cell r="F41">
            <v>35</v>
          </cell>
          <cell r="G41">
            <v>0</v>
          </cell>
          <cell r="H41">
            <v>0</v>
          </cell>
          <cell r="I41">
            <v>14</v>
          </cell>
          <cell r="J41">
            <v>92194</v>
          </cell>
        </row>
        <row r="42">
          <cell r="B42" t="str">
            <v>5paisa Capital Limited</v>
          </cell>
          <cell r="C42" t="str">
            <v>No</v>
          </cell>
          <cell r="D42">
            <v>5179798</v>
          </cell>
          <cell r="E42">
            <v>47</v>
          </cell>
          <cell r="F42">
            <v>44</v>
          </cell>
          <cell r="G42">
            <v>0</v>
          </cell>
          <cell r="H42">
            <v>0</v>
          </cell>
          <cell r="I42">
            <v>3</v>
          </cell>
          <cell r="J42">
            <v>321174</v>
          </cell>
        </row>
        <row r="43">
          <cell r="B43" t="str">
            <v>Bajaj Financial Securities Ltd.</v>
          </cell>
          <cell r="C43" t="str">
            <v>No</v>
          </cell>
          <cell r="D43">
            <v>1378118</v>
          </cell>
          <cell r="E43">
            <v>44</v>
          </cell>
          <cell r="F43">
            <v>32</v>
          </cell>
          <cell r="G43">
            <v>0</v>
          </cell>
          <cell r="H43">
            <v>0</v>
          </cell>
          <cell r="I43">
            <v>12</v>
          </cell>
          <cell r="J43">
            <v>66938</v>
          </cell>
        </row>
        <row r="44">
          <cell r="B44" t="str">
            <v>Alice Blue Fin Svcs P Ltd</v>
          </cell>
          <cell r="C44" t="str">
            <v>No</v>
          </cell>
          <cell r="D44">
            <v>870578</v>
          </cell>
          <cell r="E44">
            <v>41</v>
          </cell>
          <cell r="F44">
            <v>37</v>
          </cell>
          <cell r="G44">
            <v>0</v>
          </cell>
          <cell r="H44">
            <v>0</v>
          </cell>
          <cell r="I44">
            <v>4</v>
          </cell>
          <cell r="J44">
            <v>94919</v>
          </cell>
        </row>
        <row r="45">
          <cell r="B45" t="str">
            <v>Flattrade Broking Private Limited</v>
          </cell>
          <cell r="C45" t="str">
            <v>No</v>
          </cell>
          <cell r="D45">
            <v>131102</v>
          </cell>
          <cell r="E45">
            <v>41</v>
          </cell>
          <cell r="F45">
            <v>37</v>
          </cell>
          <cell r="G45">
            <v>0</v>
          </cell>
          <cell r="H45">
            <v>0</v>
          </cell>
          <cell r="I45">
            <v>4</v>
          </cell>
          <cell r="J45">
            <v>40795</v>
          </cell>
        </row>
        <row r="46">
          <cell r="B46" t="str">
            <v>Aaritya Broking Private Ltd (Sahi)</v>
          </cell>
          <cell r="C46" t="str">
            <v>No</v>
          </cell>
          <cell r="D46">
            <v>357624</v>
          </cell>
          <cell r="E46">
            <v>39</v>
          </cell>
          <cell r="F46">
            <v>31</v>
          </cell>
          <cell r="G46">
            <v>0</v>
          </cell>
          <cell r="H46">
            <v>0</v>
          </cell>
          <cell r="I46">
            <v>8</v>
          </cell>
          <cell r="J46">
            <v>281028</v>
          </cell>
        </row>
        <row r="47">
          <cell r="B47" t="str">
            <v>Indusind Securities (Reliance Securities Limited)</v>
          </cell>
          <cell r="C47" t="str">
            <v>No</v>
          </cell>
          <cell r="D47">
            <v>1097317</v>
          </cell>
          <cell r="E47">
            <v>39</v>
          </cell>
          <cell r="F47">
            <v>35</v>
          </cell>
          <cell r="G47">
            <v>0</v>
          </cell>
          <cell r="H47">
            <v>0</v>
          </cell>
          <cell r="I47">
            <v>4</v>
          </cell>
          <cell r="J47">
            <v>48610</v>
          </cell>
        </row>
        <row r="48">
          <cell r="B48" t="str">
            <v>Nuvama Wealth And Investment Limited.</v>
          </cell>
          <cell r="C48" t="str">
            <v>No</v>
          </cell>
          <cell r="D48">
            <v>1250980</v>
          </cell>
          <cell r="E48">
            <v>38</v>
          </cell>
          <cell r="F48">
            <v>30</v>
          </cell>
          <cell r="G48">
            <v>0</v>
          </cell>
          <cell r="H48">
            <v>0</v>
          </cell>
          <cell r="I48">
            <v>8</v>
          </cell>
          <cell r="J48">
            <v>138354</v>
          </cell>
        </row>
        <row r="49">
          <cell r="B49" t="str">
            <v>Jm Financial Services Limited</v>
          </cell>
          <cell r="C49" t="str">
            <v>No</v>
          </cell>
          <cell r="D49">
            <v>474514</v>
          </cell>
          <cell r="E49">
            <v>37</v>
          </cell>
          <cell r="F49">
            <v>22</v>
          </cell>
          <cell r="G49">
            <v>0</v>
          </cell>
          <cell r="H49">
            <v>0</v>
          </cell>
          <cell r="I49">
            <v>15</v>
          </cell>
          <cell r="J49">
            <v>113385</v>
          </cell>
        </row>
        <row r="50">
          <cell r="B50" t="str">
            <v>Arihant Capital Markets Limited</v>
          </cell>
          <cell r="C50" t="str">
            <v>No</v>
          </cell>
          <cell r="D50">
            <v>251047</v>
          </cell>
          <cell r="E50">
            <v>36</v>
          </cell>
          <cell r="F50">
            <v>28</v>
          </cell>
          <cell r="G50">
            <v>0</v>
          </cell>
          <cell r="H50">
            <v>0</v>
          </cell>
          <cell r="I50">
            <v>8</v>
          </cell>
          <cell r="J50">
            <v>55152</v>
          </cell>
        </row>
        <row r="51">
          <cell r="B51" t="str">
            <v>Aditya Birla Money Limited</v>
          </cell>
          <cell r="C51" t="str">
            <v>No</v>
          </cell>
          <cell r="D51">
            <v>903586</v>
          </cell>
          <cell r="E51">
            <v>35</v>
          </cell>
          <cell r="F51">
            <v>31</v>
          </cell>
          <cell r="G51">
            <v>0</v>
          </cell>
          <cell r="H51">
            <v>0</v>
          </cell>
          <cell r="I51">
            <v>4</v>
          </cell>
          <cell r="J51">
            <v>68735</v>
          </cell>
        </row>
        <row r="52">
          <cell r="B52" t="str">
            <v>Yes Securities (india) Limited</v>
          </cell>
          <cell r="C52" t="str">
            <v>No</v>
          </cell>
          <cell r="D52">
            <v>945987</v>
          </cell>
          <cell r="E52">
            <v>35</v>
          </cell>
          <cell r="F52">
            <v>29</v>
          </cell>
          <cell r="G52">
            <v>0</v>
          </cell>
          <cell r="H52">
            <v>0</v>
          </cell>
          <cell r="I52">
            <v>6</v>
          </cell>
          <cell r="J52">
            <v>95660</v>
          </cell>
        </row>
        <row r="53">
          <cell r="B53" t="str">
            <v>Bob Capital Markets Limited</v>
          </cell>
          <cell r="C53" t="str">
            <v>No</v>
          </cell>
          <cell r="D53">
            <v>310573</v>
          </cell>
          <cell r="E53">
            <v>34</v>
          </cell>
          <cell r="F53">
            <v>25</v>
          </cell>
          <cell r="G53">
            <v>0</v>
          </cell>
          <cell r="H53">
            <v>0</v>
          </cell>
          <cell r="I53">
            <v>9</v>
          </cell>
          <cell r="J53">
            <v>16385</v>
          </cell>
        </row>
        <row r="54">
          <cell r="B54" t="str">
            <v>Pocketful Fintech Capital Private Limited</v>
          </cell>
          <cell r="C54" t="str">
            <v>No</v>
          </cell>
          <cell r="D54">
            <v>14392</v>
          </cell>
          <cell r="E54">
            <v>34</v>
          </cell>
          <cell r="F54">
            <v>30</v>
          </cell>
          <cell r="G54">
            <v>0</v>
          </cell>
          <cell r="H54">
            <v>0</v>
          </cell>
          <cell r="I54">
            <v>4</v>
          </cell>
          <cell r="J54">
            <v>11460</v>
          </cell>
        </row>
        <row r="55">
          <cell r="B55" t="str">
            <v>Globe Capital Market Limited</v>
          </cell>
          <cell r="C55" t="str">
            <v>No</v>
          </cell>
          <cell r="D55">
            <v>286701</v>
          </cell>
          <cell r="E55">
            <v>33</v>
          </cell>
          <cell r="F55">
            <v>31</v>
          </cell>
          <cell r="G55">
            <v>0</v>
          </cell>
          <cell r="H55">
            <v>0</v>
          </cell>
          <cell r="I55">
            <v>2</v>
          </cell>
          <cell r="J55">
            <v>52333</v>
          </cell>
        </row>
        <row r="56">
          <cell r="B56" t="str">
            <v>Prabhudas Lilladher Pvt. Ltd.</v>
          </cell>
          <cell r="C56" t="str">
            <v>No</v>
          </cell>
          <cell r="D56">
            <v>194328</v>
          </cell>
          <cell r="E56">
            <v>33</v>
          </cell>
          <cell r="F56">
            <v>25</v>
          </cell>
          <cell r="G56">
            <v>0</v>
          </cell>
          <cell r="H56">
            <v>0</v>
          </cell>
          <cell r="I56">
            <v>8</v>
          </cell>
          <cell r="J56">
            <v>45137</v>
          </cell>
        </row>
        <row r="57">
          <cell r="B57" t="str">
            <v>Goodwill Wealth Management Pvt Ltd</v>
          </cell>
          <cell r="C57" t="str">
            <v>No</v>
          </cell>
          <cell r="D57">
            <v>234423</v>
          </cell>
          <cell r="E57">
            <v>31</v>
          </cell>
          <cell r="F57">
            <v>16</v>
          </cell>
          <cell r="G57">
            <v>0</v>
          </cell>
          <cell r="H57">
            <v>0</v>
          </cell>
          <cell r="I57">
            <v>15</v>
          </cell>
          <cell r="J57">
            <v>21174</v>
          </cell>
        </row>
        <row r="58">
          <cell r="B58" t="str">
            <v>Icici Bank Ltd.</v>
          </cell>
          <cell r="C58" t="str">
            <v>No</v>
          </cell>
          <cell r="D58">
            <v>59</v>
          </cell>
          <cell r="E58">
            <v>30</v>
          </cell>
          <cell r="F58">
            <v>22</v>
          </cell>
          <cell r="G58">
            <v>0</v>
          </cell>
          <cell r="H58">
            <v>0</v>
          </cell>
          <cell r="I58">
            <v>8</v>
          </cell>
          <cell r="J58">
            <v>1</v>
          </cell>
        </row>
        <row r="59">
          <cell r="B59" t="str">
            <v>Lalkar Securities Private Limited</v>
          </cell>
          <cell r="C59" t="str">
            <v>No</v>
          </cell>
          <cell r="D59">
            <v>4308</v>
          </cell>
          <cell r="E59">
            <v>29</v>
          </cell>
          <cell r="F59">
            <v>29</v>
          </cell>
          <cell r="G59">
            <v>0</v>
          </cell>
          <cell r="H59">
            <v>0</v>
          </cell>
          <cell r="I59">
            <v>0</v>
          </cell>
          <cell r="J59">
            <v>661</v>
          </cell>
        </row>
        <row r="60">
          <cell r="B60" t="str">
            <v>Karvy Comtrade Limited</v>
          </cell>
          <cell r="C60" t="str">
            <v>No</v>
          </cell>
          <cell r="D60" t="str">
            <v>-</v>
          </cell>
          <cell r="E60">
            <v>28</v>
          </cell>
          <cell r="F60">
            <v>22</v>
          </cell>
          <cell r="G60">
            <v>28</v>
          </cell>
          <cell r="H60">
            <v>0</v>
          </cell>
          <cell r="I60">
            <v>6</v>
          </cell>
          <cell r="J60" t="str">
            <v>-</v>
          </cell>
        </row>
        <row r="61">
          <cell r="B61" t="str">
            <v>Rksv Commodities India Private Limited</v>
          </cell>
          <cell r="C61" t="str">
            <v>No</v>
          </cell>
          <cell r="D61">
            <v>1024462</v>
          </cell>
          <cell r="E61">
            <v>26</v>
          </cell>
          <cell r="F61">
            <v>22</v>
          </cell>
          <cell r="G61">
            <v>0</v>
          </cell>
          <cell r="H61">
            <v>0</v>
          </cell>
          <cell r="I61">
            <v>4</v>
          </cell>
          <cell r="J61" t="str">
            <v>-</v>
          </cell>
        </row>
        <row r="62">
          <cell r="B62" t="str">
            <v>Idbi Capital Markets &amp; Securities Ltd.</v>
          </cell>
          <cell r="C62" t="str">
            <v>No</v>
          </cell>
          <cell r="D62">
            <v>434632</v>
          </cell>
          <cell r="E62">
            <v>23</v>
          </cell>
          <cell r="F62">
            <v>19</v>
          </cell>
          <cell r="G62">
            <v>0</v>
          </cell>
          <cell r="H62">
            <v>0</v>
          </cell>
          <cell r="I62">
            <v>4</v>
          </cell>
          <cell r="J62">
            <v>58515</v>
          </cell>
        </row>
        <row r="63">
          <cell r="B63" t="str">
            <v>Ventura Securities Limited</v>
          </cell>
          <cell r="C63" t="str">
            <v>No</v>
          </cell>
          <cell r="D63">
            <v>617618</v>
          </cell>
          <cell r="E63">
            <v>21</v>
          </cell>
          <cell r="F63">
            <v>20</v>
          </cell>
          <cell r="G63">
            <v>0</v>
          </cell>
          <cell r="H63">
            <v>0</v>
          </cell>
          <cell r="I63">
            <v>1</v>
          </cell>
          <cell r="J63">
            <v>99681</v>
          </cell>
        </row>
        <row r="64">
          <cell r="B64" t="str">
            <v>Integrated Enterprises (india) Private Limited</v>
          </cell>
          <cell r="C64" t="str">
            <v>No</v>
          </cell>
          <cell r="D64">
            <v>259149</v>
          </cell>
          <cell r="E64">
            <v>20</v>
          </cell>
          <cell r="F64">
            <v>10</v>
          </cell>
          <cell r="G64">
            <v>0</v>
          </cell>
          <cell r="H64">
            <v>0</v>
          </cell>
          <cell r="I64">
            <v>10</v>
          </cell>
          <cell r="J64">
            <v>50986</v>
          </cell>
        </row>
        <row r="65">
          <cell r="B65" t="str">
            <v>Univest Stock Broking Private Limited</v>
          </cell>
          <cell r="C65" t="str">
            <v>No</v>
          </cell>
          <cell r="D65">
            <v>110952</v>
          </cell>
          <cell r="E65">
            <v>20</v>
          </cell>
          <cell r="F65">
            <v>20</v>
          </cell>
          <cell r="G65">
            <v>0</v>
          </cell>
          <cell r="H65">
            <v>0</v>
          </cell>
          <cell r="I65">
            <v>0</v>
          </cell>
          <cell r="J65">
            <v>37096</v>
          </cell>
        </row>
        <row r="66">
          <cell r="B66" t="str">
            <v>Rapid Capital Services</v>
          </cell>
          <cell r="C66" t="str">
            <v>No</v>
          </cell>
          <cell r="D66">
            <v>4310</v>
          </cell>
          <cell r="E66">
            <v>18</v>
          </cell>
          <cell r="F66">
            <v>18</v>
          </cell>
          <cell r="G66">
            <v>0</v>
          </cell>
          <cell r="H66">
            <v>0</v>
          </cell>
          <cell r="I66">
            <v>0</v>
          </cell>
          <cell r="J66" t="str">
            <v>-</v>
          </cell>
        </row>
        <row r="67">
          <cell r="B67" t="str">
            <v>Geojit Investments Limited</v>
          </cell>
          <cell r="C67" t="str">
            <v>No</v>
          </cell>
          <cell r="D67">
            <v>1575490</v>
          </cell>
          <cell r="E67">
            <v>17</v>
          </cell>
          <cell r="F67">
            <v>16</v>
          </cell>
          <cell r="G67">
            <v>0</v>
          </cell>
          <cell r="H67">
            <v>0</v>
          </cell>
          <cell r="I67">
            <v>1</v>
          </cell>
          <cell r="J67">
            <v>207487</v>
          </cell>
        </row>
        <row r="68">
          <cell r="B68" t="str">
            <v>Phonepe Wealth Broking Private Limited</v>
          </cell>
          <cell r="C68" t="str">
            <v>No</v>
          </cell>
          <cell r="D68">
            <v>1460632</v>
          </cell>
          <cell r="E68">
            <v>17</v>
          </cell>
          <cell r="F68">
            <v>13</v>
          </cell>
          <cell r="G68">
            <v>0</v>
          </cell>
          <cell r="H68">
            <v>0</v>
          </cell>
          <cell r="I68">
            <v>4</v>
          </cell>
          <cell r="J68">
            <v>206598</v>
          </cell>
        </row>
        <row r="69">
          <cell r="B69" t="str">
            <v>Navia Markets Ltd.</v>
          </cell>
          <cell r="C69" t="str">
            <v>No</v>
          </cell>
          <cell r="D69">
            <v>117036</v>
          </cell>
          <cell r="E69">
            <v>16</v>
          </cell>
          <cell r="F69">
            <v>14</v>
          </cell>
          <cell r="G69">
            <v>0</v>
          </cell>
          <cell r="H69">
            <v>0</v>
          </cell>
          <cell r="I69">
            <v>2</v>
          </cell>
          <cell r="J69">
            <v>15159</v>
          </cell>
        </row>
        <row r="70">
          <cell r="B70" t="str">
            <v>Bonanza Portfolio Ltd.</v>
          </cell>
          <cell r="C70" t="str">
            <v>No</v>
          </cell>
          <cell r="D70">
            <v>511490</v>
          </cell>
          <cell r="E70">
            <v>15</v>
          </cell>
          <cell r="F70">
            <v>14</v>
          </cell>
          <cell r="G70">
            <v>0</v>
          </cell>
          <cell r="H70">
            <v>0</v>
          </cell>
          <cell r="I70">
            <v>1</v>
          </cell>
          <cell r="J70">
            <v>55139</v>
          </cell>
        </row>
        <row r="71">
          <cell r="B71" t="str">
            <v>Smifs Limited</v>
          </cell>
          <cell r="C71" t="str">
            <v>No</v>
          </cell>
          <cell r="D71">
            <v>35945</v>
          </cell>
          <cell r="E71">
            <v>15</v>
          </cell>
          <cell r="F71">
            <v>7</v>
          </cell>
          <cell r="G71">
            <v>0</v>
          </cell>
          <cell r="H71">
            <v>0</v>
          </cell>
          <cell r="I71">
            <v>8</v>
          </cell>
          <cell r="J71">
            <v>6995</v>
          </cell>
        </row>
        <row r="72">
          <cell r="B72" t="str">
            <v>Stockology Securities Private Limited</v>
          </cell>
          <cell r="C72" t="str">
            <v>No</v>
          </cell>
          <cell r="D72">
            <v>260</v>
          </cell>
          <cell r="E72">
            <v>14</v>
          </cell>
          <cell r="F72">
            <v>11</v>
          </cell>
          <cell r="G72">
            <v>0</v>
          </cell>
          <cell r="H72">
            <v>0</v>
          </cell>
          <cell r="I72">
            <v>3</v>
          </cell>
          <cell r="J72">
            <v>677</v>
          </cell>
        </row>
        <row r="73">
          <cell r="B73" t="str">
            <v>Trdez Investment Private Limited</v>
          </cell>
          <cell r="C73" t="str">
            <v>Yes</v>
          </cell>
          <cell r="D73">
            <v>156</v>
          </cell>
          <cell r="E73">
            <v>14</v>
          </cell>
          <cell r="F73">
            <v>13</v>
          </cell>
          <cell r="G73">
            <v>14</v>
          </cell>
          <cell r="H73">
            <v>0</v>
          </cell>
          <cell r="I73">
            <v>1</v>
          </cell>
          <cell r="J73" t="str">
            <v>-</v>
          </cell>
        </row>
        <row r="74">
          <cell r="B74" t="str">
            <v>Profitmart Securities Private Limited</v>
          </cell>
          <cell r="C74" t="str">
            <v>No</v>
          </cell>
          <cell r="D74">
            <v>240048</v>
          </cell>
          <cell r="E74">
            <v>13</v>
          </cell>
          <cell r="F74">
            <v>12</v>
          </cell>
          <cell r="G74">
            <v>0</v>
          </cell>
          <cell r="H74">
            <v>0</v>
          </cell>
          <cell r="I74">
            <v>1</v>
          </cell>
          <cell r="J74">
            <v>24748</v>
          </cell>
        </row>
        <row r="75">
          <cell r="B75" t="str">
            <v>Master Capital Services Limited</v>
          </cell>
          <cell r="C75" t="str">
            <v>No</v>
          </cell>
          <cell r="D75">
            <v>343234</v>
          </cell>
          <cell r="E75">
            <v>12</v>
          </cell>
          <cell r="F75">
            <v>9</v>
          </cell>
          <cell r="G75">
            <v>0</v>
          </cell>
          <cell r="H75">
            <v>0</v>
          </cell>
          <cell r="I75">
            <v>3</v>
          </cell>
          <cell r="J75">
            <v>59097</v>
          </cell>
        </row>
        <row r="76">
          <cell r="B76" t="str">
            <v>Ashlar Securities Private Limited</v>
          </cell>
          <cell r="C76" t="str">
            <v>No</v>
          </cell>
          <cell r="D76">
            <v>37665</v>
          </cell>
          <cell r="E76">
            <v>11</v>
          </cell>
          <cell r="F76">
            <v>11</v>
          </cell>
          <cell r="G76">
            <v>0</v>
          </cell>
          <cell r="H76">
            <v>0</v>
          </cell>
          <cell r="I76">
            <v>0</v>
          </cell>
          <cell r="J76">
            <v>3149</v>
          </cell>
        </row>
        <row r="77">
          <cell r="B77" t="str">
            <v>Swastika Investmart Limited</v>
          </cell>
          <cell r="C77" t="str">
            <v>No</v>
          </cell>
          <cell r="D77">
            <v>431213</v>
          </cell>
          <cell r="E77">
            <v>11</v>
          </cell>
          <cell r="F77">
            <v>2</v>
          </cell>
          <cell r="G77">
            <v>0</v>
          </cell>
          <cell r="H77">
            <v>0</v>
          </cell>
          <cell r="I77">
            <v>9</v>
          </cell>
          <cell r="J77">
            <v>50148</v>
          </cell>
        </row>
        <row r="78">
          <cell r="B78" t="str">
            <v>Finwizard Technology Private Limited</v>
          </cell>
          <cell r="C78" t="str">
            <v>No</v>
          </cell>
          <cell r="D78">
            <v>370153</v>
          </cell>
          <cell r="E78">
            <v>10</v>
          </cell>
          <cell r="F78">
            <v>8</v>
          </cell>
          <cell r="G78">
            <v>0</v>
          </cell>
          <cell r="H78">
            <v>0</v>
          </cell>
          <cell r="I78">
            <v>2</v>
          </cell>
          <cell r="J78">
            <v>12331</v>
          </cell>
        </row>
        <row r="79">
          <cell r="B79" t="str">
            <v>Kunvarji Finstock Pvt. Ltd.</v>
          </cell>
          <cell r="C79" t="str">
            <v>No</v>
          </cell>
          <cell r="D79">
            <v>61135</v>
          </cell>
          <cell r="E79">
            <v>10</v>
          </cell>
          <cell r="F79">
            <v>9</v>
          </cell>
          <cell r="G79">
            <v>0</v>
          </cell>
          <cell r="H79">
            <v>0</v>
          </cell>
          <cell r="I79">
            <v>1</v>
          </cell>
          <cell r="J79">
            <v>10466</v>
          </cell>
        </row>
        <row r="80">
          <cell r="B80" t="str">
            <v>Nuvama Wealth Management Limited</v>
          </cell>
          <cell r="C80" t="str">
            <v>No</v>
          </cell>
          <cell r="D80">
            <v>35973</v>
          </cell>
          <cell r="E80">
            <v>10</v>
          </cell>
          <cell r="F80">
            <v>5</v>
          </cell>
          <cell r="G80">
            <v>0</v>
          </cell>
          <cell r="H80">
            <v>0</v>
          </cell>
          <cell r="I80">
            <v>5</v>
          </cell>
          <cell r="J80">
            <v>618</v>
          </cell>
        </row>
        <row r="81">
          <cell r="B81" t="str">
            <v>Interactive Brokers (india) Private Limited</v>
          </cell>
          <cell r="C81" t="str">
            <v>No</v>
          </cell>
          <cell r="D81">
            <v>8728</v>
          </cell>
          <cell r="E81">
            <v>9</v>
          </cell>
          <cell r="F81">
            <v>9</v>
          </cell>
          <cell r="G81">
            <v>0</v>
          </cell>
          <cell r="H81">
            <v>0</v>
          </cell>
          <cell r="I81">
            <v>0</v>
          </cell>
          <cell r="J81">
            <v>1098</v>
          </cell>
        </row>
        <row r="82">
          <cell r="B82" t="str">
            <v>R K Global Shares &amp; Securities Limited</v>
          </cell>
          <cell r="C82" t="str">
            <v>No</v>
          </cell>
          <cell r="D82">
            <v>62867</v>
          </cell>
          <cell r="E82">
            <v>9</v>
          </cell>
          <cell r="F82">
            <v>3</v>
          </cell>
          <cell r="G82">
            <v>0</v>
          </cell>
          <cell r="H82">
            <v>0</v>
          </cell>
          <cell r="I82">
            <v>6</v>
          </cell>
          <cell r="J82">
            <v>6289</v>
          </cell>
        </row>
        <row r="83">
          <cell r="B83" t="str">
            <v>Stock Holding Corporation Of India Ltd</v>
          </cell>
          <cell r="C83" t="str">
            <v>No</v>
          </cell>
          <cell r="D83" t="str">
            <v>-</v>
          </cell>
          <cell r="E83">
            <v>9</v>
          </cell>
          <cell r="F83">
            <v>8</v>
          </cell>
          <cell r="G83">
            <v>0</v>
          </cell>
          <cell r="H83">
            <v>0</v>
          </cell>
          <cell r="I83">
            <v>1</v>
          </cell>
          <cell r="J83" t="str">
            <v>-</v>
          </cell>
        </row>
        <row r="84">
          <cell r="B84" t="str">
            <v>Anush Shares &amp; Securities Pvt.ltd.</v>
          </cell>
          <cell r="C84" t="str">
            <v>No</v>
          </cell>
          <cell r="D84">
            <v>10698</v>
          </cell>
          <cell r="E84">
            <v>8</v>
          </cell>
          <cell r="F84">
            <v>0</v>
          </cell>
          <cell r="G84">
            <v>0</v>
          </cell>
          <cell r="H84">
            <v>0</v>
          </cell>
          <cell r="I84">
            <v>8</v>
          </cell>
          <cell r="J84">
            <v>905</v>
          </cell>
        </row>
        <row r="85">
          <cell r="B85" t="str">
            <v>Arham Wealth Management Pvt Ltd</v>
          </cell>
          <cell r="C85" t="str">
            <v>No</v>
          </cell>
          <cell r="D85">
            <v>11598</v>
          </cell>
          <cell r="E85">
            <v>8</v>
          </cell>
          <cell r="F85">
            <v>8</v>
          </cell>
          <cell r="G85">
            <v>0</v>
          </cell>
          <cell r="H85">
            <v>0</v>
          </cell>
          <cell r="I85">
            <v>0</v>
          </cell>
          <cell r="J85">
            <v>3347</v>
          </cell>
        </row>
        <row r="86">
          <cell r="B86" t="str">
            <v>Delta Techinvest Private Limited</v>
          </cell>
          <cell r="C86" t="str">
            <v>No</v>
          </cell>
          <cell r="D86">
            <v>1</v>
          </cell>
          <cell r="E86">
            <v>8</v>
          </cell>
          <cell r="F86">
            <v>4</v>
          </cell>
          <cell r="G86">
            <v>0</v>
          </cell>
          <cell r="H86">
            <v>0</v>
          </cell>
          <cell r="I86">
            <v>4</v>
          </cell>
          <cell r="J86">
            <v>1</v>
          </cell>
        </row>
        <row r="87">
          <cell r="B87" t="str">
            <v>Inventure Growth &amp; Securities Limited</v>
          </cell>
          <cell r="C87" t="str">
            <v>No</v>
          </cell>
          <cell r="D87">
            <v>51033</v>
          </cell>
          <cell r="E87">
            <v>8</v>
          </cell>
          <cell r="F87">
            <v>8</v>
          </cell>
          <cell r="G87">
            <v>0</v>
          </cell>
          <cell r="H87">
            <v>0</v>
          </cell>
          <cell r="I87">
            <v>0</v>
          </cell>
          <cell r="J87">
            <v>11128</v>
          </cell>
        </row>
        <row r="88">
          <cell r="B88" t="str">
            <v>Mandot Securities Private Limited</v>
          </cell>
          <cell r="C88" t="str">
            <v>No</v>
          </cell>
          <cell r="D88">
            <v>38373</v>
          </cell>
          <cell r="E88">
            <v>8</v>
          </cell>
          <cell r="F88">
            <v>7</v>
          </cell>
          <cell r="G88">
            <v>0</v>
          </cell>
          <cell r="H88">
            <v>0</v>
          </cell>
          <cell r="I88">
            <v>1</v>
          </cell>
          <cell r="J88">
            <v>2190</v>
          </cell>
        </row>
        <row r="89">
          <cell r="B89" t="str">
            <v>Acumen Capital Market (india) Ltd</v>
          </cell>
          <cell r="C89" t="str">
            <v>No</v>
          </cell>
          <cell r="D89">
            <v>130442</v>
          </cell>
          <cell r="E89">
            <v>7</v>
          </cell>
          <cell r="F89">
            <v>3</v>
          </cell>
          <cell r="G89">
            <v>0</v>
          </cell>
          <cell r="H89">
            <v>0</v>
          </cell>
          <cell r="I89">
            <v>4</v>
          </cell>
          <cell r="J89">
            <v>16145</v>
          </cell>
        </row>
        <row r="90">
          <cell r="B90" t="str">
            <v>Ashika Stock Broking Ltd.</v>
          </cell>
          <cell r="C90" t="str">
            <v>No</v>
          </cell>
          <cell r="D90">
            <v>128092</v>
          </cell>
          <cell r="E90">
            <v>7</v>
          </cell>
          <cell r="F90">
            <v>6</v>
          </cell>
          <cell r="G90">
            <v>0</v>
          </cell>
          <cell r="H90">
            <v>0</v>
          </cell>
          <cell r="I90">
            <v>1</v>
          </cell>
          <cell r="J90">
            <v>19968</v>
          </cell>
        </row>
        <row r="91">
          <cell r="B91" t="str">
            <v>Ats Share Brokers Private Limited</v>
          </cell>
          <cell r="C91" t="str">
            <v>No</v>
          </cell>
          <cell r="D91">
            <v>33643</v>
          </cell>
          <cell r="E91">
            <v>7</v>
          </cell>
          <cell r="F91">
            <v>5</v>
          </cell>
          <cell r="G91">
            <v>0</v>
          </cell>
          <cell r="H91">
            <v>0</v>
          </cell>
          <cell r="I91">
            <v>2</v>
          </cell>
          <cell r="J91">
            <v>2777</v>
          </cell>
        </row>
        <row r="92">
          <cell r="B92" t="str">
            <v>Lkp Securities Ltd.</v>
          </cell>
          <cell r="C92" t="str">
            <v>No</v>
          </cell>
          <cell r="D92">
            <v>171433</v>
          </cell>
          <cell r="E92">
            <v>7</v>
          </cell>
          <cell r="F92">
            <v>6</v>
          </cell>
          <cell r="G92">
            <v>0</v>
          </cell>
          <cell r="H92">
            <v>0</v>
          </cell>
          <cell r="I92">
            <v>1</v>
          </cell>
          <cell r="J92">
            <v>23178</v>
          </cell>
        </row>
        <row r="93">
          <cell r="B93" t="str">
            <v xml:space="preserve">Nirmal Bang Equities Private Limited </v>
          </cell>
          <cell r="C93" t="str">
            <v>No</v>
          </cell>
          <cell r="D93">
            <v>3176</v>
          </cell>
          <cell r="E93">
            <v>7</v>
          </cell>
          <cell r="F93">
            <v>7</v>
          </cell>
          <cell r="G93">
            <v>0</v>
          </cell>
          <cell r="H93">
            <v>0</v>
          </cell>
          <cell r="I93">
            <v>0</v>
          </cell>
          <cell r="J93">
            <v>154</v>
          </cell>
        </row>
        <row r="94">
          <cell r="B94" t="str">
            <v>South Asian Stocks Ltd. (incredstocko.in)</v>
          </cell>
          <cell r="C94" t="str">
            <v>No</v>
          </cell>
          <cell r="D94">
            <v>68719</v>
          </cell>
          <cell r="E94">
            <v>7</v>
          </cell>
          <cell r="F94">
            <v>6</v>
          </cell>
          <cell r="G94">
            <v>0</v>
          </cell>
          <cell r="H94">
            <v>0</v>
          </cell>
          <cell r="I94">
            <v>1</v>
          </cell>
          <cell r="J94">
            <v>44365</v>
          </cell>
        </row>
        <row r="95">
          <cell r="B95" t="str">
            <v>Stable Broking Private Limited</v>
          </cell>
          <cell r="C95" t="str">
            <v>No</v>
          </cell>
          <cell r="D95" t="str">
            <v>-</v>
          </cell>
          <cell r="E95">
            <v>7</v>
          </cell>
          <cell r="F95">
            <v>7</v>
          </cell>
          <cell r="G95">
            <v>0</v>
          </cell>
          <cell r="H95">
            <v>0</v>
          </cell>
          <cell r="I95">
            <v>0</v>
          </cell>
          <cell r="J95" t="str">
            <v>-</v>
          </cell>
        </row>
        <row r="96">
          <cell r="B96" t="str">
            <v>Bp Equities Private Limited</v>
          </cell>
          <cell r="C96" t="str">
            <v>No</v>
          </cell>
          <cell r="D96">
            <v>55006</v>
          </cell>
          <cell r="E96">
            <v>6</v>
          </cell>
          <cell r="F96">
            <v>6</v>
          </cell>
          <cell r="G96">
            <v>0</v>
          </cell>
          <cell r="H96">
            <v>0</v>
          </cell>
          <cell r="I96">
            <v>0</v>
          </cell>
          <cell r="J96">
            <v>12561</v>
          </cell>
        </row>
        <row r="97">
          <cell r="B97" t="str">
            <v>Centrum Broking Limited</v>
          </cell>
          <cell r="C97" t="str">
            <v>No</v>
          </cell>
          <cell r="D97">
            <v>36612</v>
          </cell>
          <cell r="E97">
            <v>6</v>
          </cell>
          <cell r="F97">
            <v>6</v>
          </cell>
          <cell r="G97">
            <v>0</v>
          </cell>
          <cell r="H97">
            <v>0</v>
          </cell>
          <cell r="I97">
            <v>0</v>
          </cell>
          <cell r="J97">
            <v>2009</v>
          </cell>
        </row>
        <row r="98">
          <cell r="B98" t="str">
            <v>Exclusive Securities Ltd.</v>
          </cell>
          <cell r="C98" t="str">
            <v>No</v>
          </cell>
          <cell r="D98">
            <v>29617</v>
          </cell>
          <cell r="E98">
            <v>6</v>
          </cell>
          <cell r="F98">
            <v>3</v>
          </cell>
          <cell r="G98">
            <v>0</v>
          </cell>
          <cell r="H98">
            <v>0</v>
          </cell>
          <cell r="I98">
            <v>3</v>
          </cell>
          <cell r="J98" t="str">
            <v>-</v>
          </cell>
        </row>
        <row r="99">
          <cell r="B99" t="str">
            <v>Grip Broking Private Limited</v>
          </cell>
          <cell r="C99" t="str">
            <v>No</v>
          </cell>
          <cell r="D99" t="str">
            <v>-</v>
          </cell>
          <cell r="E99">
            <v>6</v>
          </cell>
          <cell r="F99">
            <v>6</v>
          </cell>
          <cell r="G99">
            <v>0</v>
          </cell>
          <cell r="H99">
            <v>0</v>
          </cell>
          <cell r="I99">
            <v>0</v>
          </cell>
          <cell r="J99" t="str">
            <v>-</v>
          </cell>
        </row>
        <row r="100">
          <cell r="B100" t="str">
            <v>Market Pulse Securities Private Limited</v>
          </cell>
          <cell r="C100" t="str">
            <v>No</v>
          </cell>
          <cell r="D100">
            <v>199324</v>
          </cell>
          <cell r="E100">
            <v>6</v>
          </cell>
          <cell r="F100">
            <v>6</v>
          </cell>
          <cell r="G100">
            <v>0</v>
          </cell>
          <cell r="H100">
            <v>0</v>
          </cell>
          <cell r="I100">
            <v>0</v>
          </cell>
          <cell r="J100">
            <v>14532</v>
          </cell>
        </row>
        <row r="101">
          <cell r="B101" t="str">
            <v>1 Finance Private Ltd</v>
          </cell>
          <cell r="C101" t="str">
            <v>No</v>
          </cell>
          <cell r="D101" t="str">
            <v>-</v>
          </cell>
          <cell r="E101">
            <v>5</v>
          </cell>
          <cell r="F101">
            <v>5</v>
          </cell>
          <cell r="G101">
            <v>0</v>
          </cell>
          <cell r="H101">
            <v>0</v>
          </cell>
          <cell r="I101">
            <v>0</v>
          </cell>
          <cell r="J101" t="str">
            <v>-</v>
          </cell>
        </row>
        <row r="102">
          <cell r="B102" t="str">
            <v>Bajaj Share &amp; Stock Brokers Pvt. Ltd</v>
          </cell>
          <cell r="C102" t="str">
            <v>No</v>
          </cell>
          <cell r="D102">
            <v>126</v>
          </cell>
          <cell r="E102">
            <v>5</v>
          </cell>
          <cell r="F102">
            <v>4</v>
          </cell>
          <cell r="G102">
            <v>0</v>
          </cell>
          <cell r="H102">
            <v>0</v>
          </cell>
          <cell r="I102">
            <v>1</v>
          </cell>
          <cell r="J102">
            <v>20</v>
          </cell>
        </row>
        <row r="103">
          <cell r="B103" t="str">
            <v>Dealmoney Commodities Pvt. Ltd.</v>
          </cell>
          <cell r="C103" t="str">
            <v>No</v>
          </cell>
          <cell r="D103">
            <v>89004</v>
          </cell>
          <cell r="E103">
            <v>5</v>
          </cell>
          <cell r="F103">
            <v>5</v>
          </cell>
          <cell r="G103">
            <v>0</v>
          </cell>
          <cell r="H103">
            <v>0</v>
          </cell>
          <cell r="I103">
            <v>0</v>
          </cell>
          <cell r="J103">
            <v>1295</v>
          </cell>
        </row>
        <row r="104">
          <cell r="B104" t="str">
            <v>Growth Securities Private Limited</v>
          </cell>
          <cell r="C104" t="str">
            <v>No</v>
          </cell>
          <cell r="D104">
            <v>1314</v>
          </cell>
          <cell r="E104">
            <v>5</v>
          </cell>
          <cell r="F104">
            <v>5</v>
          </cell>
          <cell r="G104">
            <v>0</v>
          </cell>
          <cell r="H104">
            <v>0</v>
          </cell>
          <cell r="I104">
            <v>0</v>
          </cell>
          <cell r="J104">
            <v>320</v>
          </cell>
        </row>
        <row r="105">
          <cell r="B105" t="str">
            <v>Indusind Bank Limited</v>
          </cell>
          <cell r="C105" t="str">
            <v>No</v>
          </cell>
          <cell r="D105">
            <v>142</v>
          </cell>
          <cell r="E105">
            <v>5</v>
          </cell>
          <cell r="F105">
            <v>5</v>
          </cell>
          <cell r="G105">
            <v>0</v>
          </cell>
          <cell r="H105">
            <v>0</v>
          </cell>
          <cell r="I105">
            <v>0</v>
          </cell>
          <cell r="J105" t="str">
            <v>-</v>
          </cell>
        </row>
        <row r="106">
          <cell r="B106" t="str">
            <v>Mintcap Brokers Private Limited</v>
          </cell>
          <cell r="C106" t="str">
            <v>No</v>
          </cell>
          <cell r="D106">
            <v>3101</v>
          </cell>
          <cell r="E106">
            <v>5</v>
          </cell>
          <cell r="F106">
            <v>4</v>
          </cell>
          <cell r="G106">
            <v>0</v>
          </cell>
          <cell r="H106">
            <v>0</v>
          </cell>
          <cell r="I106">
            <v>1</v>
          </cell>
          <cell r="J106">
            <v>6408</v>
          </cell>
        </row>
        <row r="107">
          <cell r="B107" t="str">
            <v>Nj India Invest Private Limited</v>
          </cell>
          <cell r="C107" t="str">
            <v>No</v>
          </cell>
          <cell r="D107">
            <v>1877380</v>
          </cell>
          <cell r="E107">
            <v>5</v>
          </cell>
          <cell r="F107">
            <v>4</v>
          </cell>
          <cell r="G107">
            <v>0</v>
          </cell>
          <cell r="H107">
            <v>0</v>
          </cell>
          <cell r="I107">
            <v>1</v>
          </cell>
          <cell r="J107">
            <v>74648</v>
          </cell>
        </row>
        <row r="108">
          <cell r="B108" t="str">
            <v>Share India Securities Limited</v>
          </cell>
          <cell r="C108" t="str">
            <v>No</v>
          </cell>
          <cell r="D108">
            <v>44809</v>
          </cell>
          <cell r="E108">
            <v>5</v>
          </cell>
          <cell r="F108">
            <v>4</v>
          </cell>
          <cell r="G108">
            <v>0</v>
          </cell>
          <cell r="H108">
            <v>0</v>
          </cell>
          <cell r="I108">
            <v>1</v>
          </cell>
          <cell r="J108">
            <v>8798</v>
          </cell>
        </row>
        <row r="109">
          <cell r="B109" t="str">
            <v>Zebu Share And Wealth Managements Private Limited</v>
          </cell>
          <cell r="C109" t="str">
            <v>No</v>
          </cell>
          <cell r="D109">
            <v>96334</v>
          </cell>
          <cell r="E109">
            <v>5</v>
          </cell>
          <cell r="F109">
            <v>0</v>
          </cell>
          <cell r="G109">
            <v>0</v>
          </cell>
          <cell r="H109">
            <v>0</v>
          </cell>
          <cell r="I109">
            <v>5</v>
          </cell>
          <cell r="J109">
            <v>13976</v>
          </cell>
        </row>
        <row r="110">
          <cell r="B110" t="str">
            <v>Zuari Finserv Limited</v>
          </cell>
          <cell r="C110" t="str">
            <v>No</v>
          </cell>
          <cell r="D110">
            <v>27147</v>
          </cell>
          <cell r="E110">
            <v>5</v>
          </cell>
          <cell r="F110">
            <v>2</v>
          </cell>
          <cell r="G110">
            <v>0</v>
          </cell>
          <cell r="H110">
            <v>0</v>
          </cell>
          <cell r="I110">
            <v>3</v>
          </cell>
          <cell r="J110">
            <v>4055</v>
          </cell>
        </row>
        <row r="111">
          <cell r="B111" t="str">
            <v>Abhipra Capital Limited</v>
          </cell>
          <cell r="C111" t="str">
            <v>No</v>
          </cell>
          <cell r="D111">
            <v>32721</v>
          </cell>
          <cell r="E111">
            <v>4</v>
          </cell>
          <cell r="F111">
            <v>1</v>
          </cell>
          <cell r="G111">
            <v>0</v>
          </cell>
          <cell r="H111">
            <v>0</v>
          </cell>
          <cell r="I111">
            <v>3</v>
          </cell>
          <cell r="J111">
            <v>1222</v>
          </cell>
        </row>
        <row r="112">
          <cell r="B112" t="str">
            <v>B N Rathi Securities Limited</v>
          </cell>
          <cell r="C112" t="str">
            <v>No</v>
          </cell>
          <cell r="D112">
            <v>91769</v>
          </cell>
          <cell r="E112">
            <v>4</v>
          </cell>
          <cell r="F112">
            <v>4</v>
          </cell>
          <cell r="G112">
            <v>0</v>
          </cell>
          <cell r="H112">
            <v>0</v>
          </cell>
          <cell r="I112">
            <v>0</v>
          </cell>
          <cell r="J112">
            <v>18702</v>
          </cell>
        </row>
        <row r="113">
          <cell r="B113" t="str">
            <v>Barclays Securities (india) Private Limited</v>
          </cell>
          <cell r="C113" t="str">
            <v>No</v>
          </cell>
          <cell r="D113">
            <v>6528</v>
          </cell>
          <cell r="E113">
            <v>4</v>
          </cell>
          <cell r="F113">
            <v>4</v>
          </cell>
          <cell r="G113">
            <v>0</v>
          </cell>
          <cell r="H113">
            <v>0</v>
          </cell>
          <cell r="I113">
            <v>0</v>
          </cell>
          <cell r="J113">
            <v>237</v>
          </cell>
        </row>
        <row r="114">
          <cell r="B114" t="str">
            <v>Hdfc Bank Ltd.</v>
          </cell>
          <cell r="C114" t="str">
            <v>No</v>
          </cell>
          <cell r="D114">
            <v>3</v>
          </cell>
          <cell r="E114">
            <v>4</v>
          </cell>
          <cell r="F114">
            <v>3</v>
          </cell>
          <cell r="G114">
            <v>0</v>
          </cell>
          <cell r="H114">
            <v>0</v>
          </cell>
          <cell r="I114">
            <v>1</v>
          </cell>
          <cell r="J114" t="str">
            <v>-</v>
          </cell>
        </row>
        <row r="115">
          <cell r="B115" t="str">
            <v>Julius Baer Wealth Advisors (india) Private Limited</v>
          </cell>
          <cell r="C115" t="str">
            <v>No</v>
          </cell>
          <cell r="D115">
            <v>8884</v>
          </cell>
          <cell r="E115">
            <v>4</v>
          </cell>
          <cell r="F115">
            <v>4</v>
          </cell>
          <cell r="G115">
            <v>0</v>
          </cell>
          <cell r="H115">
            <v>0</v>
          </cell>
          <cell r="I115">
            <v>0</v>
          </cell>
          <cell r="J115">
            <v>3260</v>
          </cell>
        </row>
        <row r="116">
          <cell r="B116" t="str">
            <v xml:space="preserve">Kedia Capital Services Private Limited </v>
          </cell>
          <cell r="C116" t="str">
            <v>No</v>
          </cell>
          <cell r="D116">
            <v>15446</v>
          </cell>
          <cell r="E116">
            <v>4</v>
          </cell>
          <cell r="F116">
            <v>3</v>
          </cell>
          <cell r="G116">
            <v>0</v>
          </cell>
          <cell r="H116">
            <v>0</v>
          </cell>
          <cell r="I116">
            <v>1</v>
          </cell>
          <cell r="J116">
            <v>2786</v>
          </cell>
        </row>
        <row r="117">
          <cell r="B117" t="str">
            <v>Krisha Incap Services Pvt.ltd.</v>
          </cell>
          <cell r="C117" t="str">
            <v>No</v>
          </cell>
          <cell r="D117">
            <v>573</v>
          </cell>
          <cell r="E117">
            <v>4</v>
          </cell>
          <cell r="F117">
            <v>0</v>
          </cell>
          <cell r="G117">
            <v>0</v>
          </cell>
          <cell r="H117">
            <v>0</v>
          </cell>
          <cell r="I117">
            <v>4</v>
          </cell>
          <cell r="J117" t="str">
            <v>-</v>
          </cell>
        </row>
        <row r="118">
          <cell r="B118" t="str">
            <v>Marketwolf Securities Private Limited</v>
          </cell>
          <cell r="C118" t="str">
            <v>No</v>
          </cell>
          <cell r="D118">
            <v>821517</v>
          </cell>
          <cell r="E118">
            <v>4</v>
          </cell>
          <cell r="F118">
            <v>4</v>
          </cell>
          <cell r="G118">
            <v>0</v>
          </cell>
          <cell r="H118">
            <v>0</v>
          </cell>
          <cell r="I118">
            <v>0</v>
          </cell>
          <cell r="J118">
            <v>31190</v>
          </cell>
        </row>
        <row r="119">
          <cell r="B119" t="str">
            <v>New Berry Capitals Private Limited</v>
          </cell>
          <cell r="C119" t="str">
            <v>No</v>
          </cell>
          <cell r="D119">
            <v>952</v>
          </cell>
          <cell r="E119">
            <v>4</v>
          </cell>
          <cell r="F119">
            <v>4</v>
          </cell>
          <cell r="G119">
            <v>0</v>
          </cell>
          <cell r="H119">
            <v>0</v>
          </cell>
          <cell r="I119">
            <v>0</v>
          </cell>
          <cell r="J119">
            <v>80</v>
          </cell>
        </row>
        <row r="120">
          <cell r="B120" t="str">
            <v>Prithvi Finmart Private Limited</v>
          </cell>
          <cell r="C120" t="str">
            <v>No</v>
          </cell>
          <cell r="D120">
            <v>22955</v>
          </cell>
          <cell r="E120">
            <v>4</v>
          </cell>
          <cell r="F120">
            <v>4</v>
          </cell>
          <cell r="G120">
            <v>0</v>
          </cell>
          <cell r="H120">
            <v>0</v>
          </cell>
          <cell r="I120">
            <v>0</v>
          </cell>
          <cell r="J120">
            <v>6529</v>
          </cell>
        </row>
        <row r="121">
          <cell r="B121" t="str">
            <v>Rk Global Equity Broking Ltd.</v>
          </cell>
          <cell r="C121" t="str">
            <v>No</v>
          </cell>
          <cell r="D121" t="str">
            <v>-</v>
          </cell>
          <cell r="E121">
            <v>4</v>
          </cell>
          <cell r="F121">
            <v>4</v>
          </cell>
          <cell r="G121">
            <v>4</v>
          </cell>
          <cell r="H121">
            <v>0</v>
          </cell>
          <cell r="I121">
            <v>0</v>
          </cell>
          <cell r="J121" t="str">
            <v>-</v>
          </cell>
        </row>
        <row r="122">
          <cell r="B122" t="str">
            <v>Shri Parasram Holdings Pvt. Ltd.</v>
          </cell>
          <cell r="C122" t="str">
            <v>No</v>
          </cell>
          <cell r="D122">
            <v>180043</v>
          </cell>
          <cell r="E122">
            <v>4</v>
          </cell>
          <cell r="F122">
            <v>4</v>
          </cell>
          <cell r="G122">
            <v>0</v>
          </cell>
          <cell r="H122">
            <v>0</v>
          </cell>
          <cell r="I122">
            <v>0</v>
          </cell>
          <cell r="J122">
            <v>32634</v>
          </cell>
        </row>
        <row r="123">
          <cell r="B123" t="str">
            <v>Shriram Insight Share Brokers Limited</v>
          </cell>
          <cell r="C123" t="str">
            <v>No</v>
          </cell>
          <cell r="D123">
            <v>215993</v>
          </cell>
          <cell r="E123">
            <v>4</v>
          </cell>
          <cell r="F123">
            <v>4</v>
          </cell>
          <cell r="G123">
            <v>0</v>
          </cell>
          <cell r="H123">
            <v>0</v>
          </cell>
          <cell r="I123">
            <v>0</v>
          </cell>
          <cell r="J123">
            <v>25681</v>
          </cell>
        </row>
        <row r="124">
          <cell r="B124" t="str">
            <v>Singhal Capital Services Ltd.</v>
          </cell>
          <cell r="C124" t="str">
            <v>No</v>
          </cell>
          <cell r="D124">
            <v>1246</v>
          </cell>
          <cell r="E124">
            <v>4</v>
          </cell>
          <cell r="F124">
            <v>4</v>
          </cell>
          <cell r="G124">
            <v>0</v>
          </cell>
          <cell r="H124">
            <v>0</v>
          </cell>
          <cell r="I124">
            <v>0</v>
          </cell>
          <cell r="J124">
            <v>59</v>
          </cell>
        </row>
        <row r="125">
          <cell r="B125" t="str">
            <v>Stockholding Services Limited</v>
          </cell>
          <cell r="C125" t="str">
            <v>No</v>
          </cell>
          <cell r="D125">
            <v>310440</v>
          </cell>
          <cell r="E125">
            <v>4</v>
          </cell>
          <cell r="F125">
            <v>4</v>
          </cell>
          <cell r="G125">
            <v>0</v>
          </cell>
          <cell r="H125">
            <v>0</v>
          </cell>
          <cell r="I125">
            <v>0</v>
          </cell>
          <cell r="J125">
            <v>71090</v>
          </cell>
        </row>
        <row r="126">
          <cell r="B126" t="str">
            <v>Sunlight Broking Llp</v>
          </cell>
          <cell r="C126" t="str">
            <v>No</v>
          </cell>
          <cell r="D126">
            <v>19342</v>
          </cell>
          <cell r="E126">
            <v>4</v>
          </cell>
          <cell r="F126">
            <v>4</v>
          </cell>
          <cell r="G126">
            <v>0</v>
          </cell>
          <cell r="H126">
            <v>0</v>
          </cell>
          <cell r="I126">
            <v>0</v>
          </cell>
          <cell r="J126">
            <v>6461</v>
          </cell>
        </row>
        <row r="127">
          <cell r="B127" t="str">
            <v>Sunshine Stock Broking Private Limited</v>
          </cell>
          <cell r="C127" t="str">
            <v>No</v>
          </cell>
          <cell r="D127">
            <v>1308</v>
          </cell>
          <cell r="E127">
            <v>4</v>
          </cell>
          <cell r="F127">
            <v>4</v>
          </cell>
          <cell r="G127">
            <v>0</v>
          </cell>
          <cell r="H127">
            <v>0</v>
          </cell>
          <cell r="I127">
            <v>0</v>
          </cell>
          <cell r="J127">
            <v>183</v>
          </cell>
        </row>
        <row r="128">
          <cell r="B128" t="str">
            <v>Trustline Securities Limited</v>
          </cell>
          <cell r="C128" t="str">
            <v>No</v>
          </cell>
          <cell r="D128">
            <v>135270</v>
          </cell>
          <cell r="E128">
            <v>4</v>
          </cell>
          <cell r="F128">
            <v>4</v>
          </cell>
          <cell r="G128">
            <v>0</v>
          </cell>
          <cell r="H128">
            <v>0</v>
          </cell>
          <cell r="I128">
            <v>0</v>
          </cell>
          <cell r="J128">
            <v>10450</v>
          </cell>
        </row>
        <row r="129">
          <cell r="B129" t="str">
            <v>Achintya Securities Limited</v>
          </cell>
          <cell r="C129" t="str">
            <v>No</v>
          </cell>
          <cell r="D129">
            <v>4443</v>
          </cell>
          <cell r="E129">
            <v>3</v>
          </cell>
          <cell r="F129">
            <v>3</v>
          </cell>
          <cell r="G129">
            <v>0</v>
          </cell>
          <cell r="H129">
            <v>0</v>
          </cell>
          <cell r="I129">
            <v>0</v>
          </cell>
          <cell r="J129">
            <v>768</v>
          </cell>
        </row>
        <row r="130">
          <cell r="B130" t="str">
            <v>Adroit Financial Services Private Limited</v>
          </cell>
          <cell r="C130" t="str">
            <v>No</v>
          </cell>
          <cell r="D130">
            <v>62288</v>
          </cell>
          <cell r="E130">
            <v>3</v>
          </cell>
          <cell r="F130">
            <v>3</v>
          </cell>
          <cell r="G130">
            <v>0</v>
          </cell>
          <cell r="H130">
            <v>0</v>
          </cell>
          <cell r="I130">
            <v>0</v>
          </cell>
          <cell r="J130">
            <v>8221</v>
          </cell>
        </row>
        <row r="131">
          <cell r="B131" t="str">
            <v>Ambalal Shares And Stocks Private Limited</v>
          </cell>
          <cell r="C131" t="str">
            <v>No</v>
          </cell>
          <cell r="D131">
            <v>14862</v>
          </cell>
          <cell r="E131">
            <v>3</v>
          </cell>
          <cell r="F131">
            <v>3</v>
          </cell>
          <cell r="G131">
            <v>0</v>
          </cell>
          <cell r="H131">
            <v>0</v>
          </cell>
          <cell r="I131">
            <v>0</v>
          </cell>
          <cell r="J131">
            <v>1528</v>
          </cell>
        </row>
        <row r="132">
          <cell r="B132" t="str">
            <v>Arete Securities Limited</v>
          </cell>
          <cell r="C132" t="str">
            <v>No</v>
          </cell>
          <cell r="D132">
            <v>11224</v>
          </cell>
          <cell r="E132">
            <v>3</v>
          </cell>
          <cell r="F132">
            <v>3</v>
          </cell>
          <cell r="G132">
            <v>0</v>
          </cell>
          <cell r="H132">
            <v>0</v>
          </cell>
          <cell r="I132">
            <v>0</v>
          </cell>
          <cell r="J132">
            <v>77</v>
          </cell>
        </row>
        <row r="133">
          <cell r="B133" t="str">
            <v>Astha Credit &amp; Securities (p) Ltd</v>
          </cell>
          <cell r="C133" t="str">
            <v>No</v>
          </cell>
          <cell r="D133">
            <v>187861</v>
          </cell>
          <cell r="E133">
            <v>3</v>
          </cell>
          <cell r="F133">
            <v>2</v>
          </cell>
          <cell r="G133">
            <v>0</v>
          </cell>
          <cell r="H133">
            <v>0</v>
          </cell>
          <cell r="I133">
            <v>1</v>
          </cell>
          <cell r="J133">
            <v>11813</v>
          </cell>
        </row>
        <row r="134">
          <cell r="B134" t="str">
            <v>Bondbazaar Securities Private Limited</v>
          </cell>
          <cell r="C134" t="str">
            <v>No</v>
          </cell>
          <cell r="D134">
            <v>25586</v>
          </cell>
          <cell r="E134">
            <v>3</v>
          </cell>
          <cell r="F134">
            <v>3</v>
          </cell>
          <cell r="G134">
            <v>0</v>
          </cell>
          <cell r="H134">
            <v>0</v>
          </cell>
          <cell r="I134">
            <v>0</v>
          </cell>
          <cell r="J134">
            <v>1387</v>
          </cell>
        </row>
        <row r="135">
          <cell r="B135" t="str">
            <v>Citadel Securities India Markets Private Limited</v>
          </cell>
          <cell r="C135" t="str">
            <v>No</v>
          </cell>
          <cell r="D135">
            <v>1</v>
          </cell>
          <cell r="E135">
            <v>3</v>
          </cell>
          <cell r="F135">
            <v>3</v>
          </cell>
          <cell r="G135">
            <v>0</v>
          </cell>
          <cell r="H135">
            <v>0</v>
          </cell>
          <cell r="I135">
            <v>0</v>
          </cell>
          <cell r="J135">
            <v>1</v>
          </cell>
        </row>
        <row r="136">
          <cell r="B136" t="str">
            <v>Citibank N.a.</v>
          </cell>
          <cell r="C136" t="str">
            <v>No</v>
          </cell>
          <cell r="D136">
            <v>35</v>
          </cell>
          <cell r="E136">
            <v>3</v>
          </cell>
          <cell r="F136">
            <v>3</v>
          </cell>
          <cell r="G136">
            <v>0</v>
          </cell>
          <cell r="H136">
            <v>0</v>
          </cell>
          <cell r="I136">
            <v>0</v>
          </cell>
          <cell r="J136" t="str">
            <v>-</v>
          </cell>
        </row>
        <row r="137">
          <cell r="B137" t="str">
            <v>Enrich Financial Market Private Limited</v>
          </cell>
          <cell r="C137" t="str">
            <v>No</v>
          </cell>
          <cell r="D137">
            <v>86449</v>
          </cell>
          <cell r="E137">
            <v>3</v>
          </cell>
          <cell r="F137">
            <v>1</v>
          </cell>
          <cell r="G137">
            <v>0</v>
          </cell>
          <cell r="H137">
            <v>0</v>
          </cell>
          <cell r="I137">
            <v>2</v>
          </cell>
          <cell r="J137">
            <v>10512</v>
          </cell>
        </row>
        <row r="138">
          <cell r="B138" t="str">
            <v>Fairwealth Commodity Broking Private Limited</v>
          </cell>
          <cell r="C138" t="str">
            <v>No</v>
          </cell>
          <cell r="D138" t="str">
            <v>-</v>
          </cell>
          <cell r="E138">
            <v>3</v>
          </cell>
          <cell r="F138">
            <v>2</v>
          </cell>
          <cell r="G138">
            <v>3</v>
          </cell>
          <cell r="H138">
            <v>0</v>
          </cell>
          <cell r="I138">
            <v>1</v>
          </cell>
          <cell r="J138" t="str">
            <v>-</v>
          </cell>
        </row>
        <row r="139">
          <cell r="B139" t="str">
            <v>Fourdegreewater Services Private Limited</v>
          </cell>
          <cell r="C139" t="str">
            <v>No</v>
          </cell>
          <cell r="D139" t="str">
            <v>-</v>
          </cell>
          <cell r="E139">
            <v>3</v>
          </cell>
          <cell r="F139">
            <v>3</v>
          </cell>
          <cell r="G139">
            <v>0</v>
          </cell>
          <cell r="H139">
            <v>0</v>
          </cell>
          <cell r="I139">
            <v>0</v>
          </cell>
          <cell r="J139" t="str">
            <v>-</v>
          </cell>
        </row>
        <row r="140">
          <cell r="B140" t="str">
            <v>Hsbc Securities &amp; Capital Markets (india) Pvt. Ltd.</v>
          </cell>
          <cell r="C140" t="str">
            <v>No</v>
          </cell>
          <cell r="D140">
            <v>15540</v>
          </cell>
          <cell r="E140">
            <v>3</v>
          </cell>
          <cell r="F140">
            <v>3</v>
          </cell>
          <cell r="G140">
            <v>0</v>
          </cell>
          <cell r="H140">
            <v>0</v>
          </cell>
          <cell r="I140">
            <v>0</v>
          </cell>
          <cell r="J140">
            <v>258</v>
          </cell>
        </row>
        <row r="141">
          <cell r="B141" t="str">
            <v>Incred Capital Wealth Portfolio Managers Private Limited</v>
          </cell>
          <cell r="C141" t="str">
            <v>No</v>
          </cell>
          <cell r="D141">
            <v>8447</v>
          </cell>
          <cell r="E141">
            <v>3</v>
          </cell>
          <cell r="F141">
            <v>0</v>
          </cell>
          <cell r="G141">
            <v>0</v>
          </cell>
          <cell r="H141">
            <v>0</v>
          </cell>
          <cell r="I141">
            <v>3</v>
          </cell>
          <cell r="J141">
            <v>1613</v>
          </cell>
        </row>
        <row r="142">
          <cell r="B142" t="str">
            <v>Indbank Merchant Banking Services Ltd.</v>
          </cell>
          <cell r="C142" t="str">
            <v>No</v>
          </cell>
          <cell r="D142">
            <v>67800</v>
          </cell>
          <cell r="E142">
            <v>3</v>
          </cell>
          <cell r="F142">
            <v>2</v>
          </cell>
          <cell r="G142">
            <v>0</v>
          </cell>
          <cell r="H142">
            <v>0</v>
          </cell>
          <cell r="I142">
            <v>1</v>
          </cell>
          <cell r="J142">
            <v>12099</v>
          </cell>
        </row>
        <row r="143">
          <cell r="B143" t="str">
            <v>Indo Money Securities Private Limited</v>
          </cell>
          <cell r="C143" t="str">
            <v>No</v>
          </cell>
          <cell r="D143">
            <v>2861</v>
          </cell>
          <cell r="E143">
            <v>3</v>
          </cell>
          <cell r="F143">
            <v>2</v>
          </cell>
          <cell r="G143">
            <v>0</v>
          </cell>
          <cell r="H143">
            <v>0</v>
          </cell>
          <cell r="I143">
            <v>1</v>
          </cell>
          <cell r="J143" t="str">
            <v>-</v>
          </cell>
        </row>
        <row r="144">
          <cell r="B144" t="str">
            <v>Jhaveri Securities Limited</v>
          </cell>
          <cell r="C144" t="str">
            <v>No</v>
          </cell>
          <cell r="D144">
            <v>184924</v>
          </cell>
          <cell r="E144">
            <v>3</v>
          </cell>
          <cell r="F144">
            <v>3</v>
          </cell>
          <cell r="G144">
            <v>0</v>
          </cell>
          <cell r="H144">
            <v>0</v>
          </cell>
          <cell r="I144">
            <v>0</v>
          </cell>
          <cell r="J144">
            <v>59352</v>
          </cell>
        </row>
        <row r="145">
          <cell r="B145" t="str">
            <v>Junomoneta Finsol Private Limited</v>
          </cell>
          <cell r="C145" t="str">
            <v>No</v>
          </cell>
          <cell r="D145">
            <v>2</v>
          </cell>
          <cell r="E145">
            <v>3</v>
          </cell>
          <cell r="F145">
            <v>3</v>
          </cell>
          <cell r="G145">
            <v>0</v>
          </cell>
          <cell r="H145">
            <v>0</v>
          </cell>
          <cell r="I145">
            <v>0</v>
          </cell>
          <cell r="J145">
            <v>26</v>
          </cell>
        </row>
        <row r="146">
          <cell r="B146" t="str">
            <v>Kifs Trade Capital Private Limited</v>
          </cell>
          <cell r="C146" t="str">
            <v>No</v>
          </cell>
          <cell r="D146">
            <v>117486</v>
          </cell>
          <cell r="E146">
            <v>3</v>
          </cell>
          <cell r="F146">
            <v>3</v>
          </cell>
          <cell r="G146">
            <v>0</v>
          </cell>
          <cell r="H146">
            <v>0</v>
          </cell>
          <cell r="I146">
            <v>0</v>
          </cell>
          <cell r="J146">
            <v>20585</v>
          </cell>
        </row>
        <row r="147">
          <cell r="B147" t="str">
            <v>Krchoksey Shares And Securities Private Limited</v>
          </cell>
          <cell r="C147" t="str">
            <v>No</v>
          </cell>
          <cell r="D147">
            <v>67108</v>
          </cell>
          <cell r="E147">
            <v>3</v>
          </cell>
          <cell r="F147">
            <v>3</v>
          </cell>
          <cell r="G147">
            <v>0</v>
          </cell>
          <cell r="H147">
            <v>0</v>
          </cell>
          <cell r="I147">
            <v>0</v>
          </cell>
          <cell r="J147">
            <v>5873</v>
          </cell>
        </row>
        <row r="148">
          <cell r="B148" t="str">
            <v>Marwadi Shares And Finance Limited</v>
          </cell>
          <cell r="C148" t="str">
            <v>No</v>
          </cell>
          <cell r="D148">
            <v>427384</v>
          </cell>
          <cell r="E148">
            <v>3</v>
          </cell>
          <cell r="F148">
            <v>3</v>
          </cell>
          <cell r="G148">
            <v>0</v>
          </cell>
          <cell r="H148">
            <v>0</v>
          </cell>
          <cell r="I148">
            <v>0</v>
          </cell>
          <cell r="J148">
            <v>131766</v>
          </cell>
        </row>
        <row r="149">
          <cell r="B149" t="str">
            <v>Muthoot Securities Ltd.</v>
          </cell>
          <cell r="C149" t="str">
            <v>No</v>
          </cell>
          <cell r="D149">
            <v>80376</v>
          </cell>
          <cell r="E149">
            <v>3</v>
          </cell>
          <cell r="F149">
            <v>2</v>
          </cell>
          <cell r="G149">
            <v>0</v>
          </cell>
          <cell r="H149">
            <v>0</v>
          </cell>
          <cell r="I149">
            <v>1</v>
          </cell>
          <cell r="J149">
            <v>3654</v>
          </cell>
        </row>
        <row r="150">
          <cell r="B150" t="str">
            <v>Rudra Shares &amp; Stock Brokers Ltd</v>
          </cell>
          <cell r="C150" t="str">
            <v>No</v>
          </cell>
          <cell r="D150">
            <v>42664</v>
          </cell>
          <cell r="E150">
            <v>3</v>
          </cell>
          <cell r="F150">
            <v>3</v>
          </cell>
          <cell r="G150">
            <v>0</v>
          </cell>
          <cell r="H150">
            <v>0</v>
          </cell>
          <cell r="I150">
            <v>0</v>
          </cell>
          <cell r="J150">
            <v>13011</v>
          </cell>
        </row>
        <row r="151">
          <cell r="B151" t="str">
            <v>Share India Algoplus Private Limited</v>
          </cell>
          <cell r="C151" t="str">
            <v>No</v>
          </cell>
          <cell r="D151">
            <v>44</v>
          </cell>
          <cell r="E151">
            <v>3</v>
          </cell>
          <cell r="F151">
            <v>3</v>
          </cell>
          <cell r="G151">
            <v>0</v>
          </cell>
          <cell r="H151">
            <v>0</v>
          </cell>
          <cell r="I151">
            <v>0</v>
          </cell>
          <cell r="J151">
            <v>20</v>
          </cell>
        </row>
        <row r="152">
          <cell r="B152" t="str">
            <v>Ski Capital Services Ltd.</v>
          </cell>
          <cell r="C152" t="str">
            <v>No</v>
          </cell>
          <cell r="D152">
            <v>14388</v>
          </cell>
          <cell r="E152">
            <v>3</v>
          </cell>
          <cell r="F152">
            <v>3</v>
          </cell>
          <cell r="G152">
            <v>0</v>
          </cell>
          <cell r="H152">
            <v>0</v>
          </cell>
          <cell r="I152">
            <v>0</v>
          </cell>
          <cell r="J152">
            <v>1680</v>
          </cell>
        </row>
        <row r="153">
          <cell r="B153" t="str">
            <v>Skp Securities Ltd.</v>
          </cell>
          <cell r="C153" t="str">
            <v>No</v>
          </cell>
          <cell r="D153">
            <v>26668</v>
          </cell>
          <cell r="E153">
            <v>3</v>
          </cell>
          <cell r="F153">
            <v>3</v>
          </cell>
          <cell r="G153">
            <v>0</v>
          </cell>
          <cell r="H153">
            <v>0</v>
          </cell>
          <cell r="I153">
            <v>0</v>
          </cell>
          <cell r="J153">
            <v>2360</v>
          </cell>
        </row>
        <row r="154">
          <cell r="B154" t="str">
            <v>Sykes &amp; Ray Equities (i) Ltd.</v>
          </cell>
          <cell r="C154" t="str">
            <v>No</v>
          </cell>
          <cell r="D154">
            <v>88651</v>
          </cell>
          <cell r="E154">
            <v>3</v>
          </cell>
          <cell r="F154">
            <v>0</v>
          </cell>
          <cell r="G154">
            <v>0</v>
          </cell>
          <cell r="H154">
            <v>0</v>
          </cell>
          <cell r="I154">
            <v>3</v>
          </cell>
          <cell r="J154">
            <v>12431</v>
          </cell>
        </row>
        <row r="155">
          <cell r="B155" t="str">
            <v>Yes Bank Limited</v>
          </cell>
          <cell r="C155" t="str">
            <v>No</v>
          </cell>
          <cell r="D155">
            <v>1</v>
          </cell>
          <cell r="E155">
            <v>3</v>
          </cell>
          <cell r="F155">
            <v>3</v>
          </cell>
          <cell r="G155">
            <v>0</v>
          </cell>
          <cell r="H155">
            <v>0</v>
          </cell>
          <cell r="I155">
            <v>0</v>
          </cell>
          <cell r="J155">
            <v>1</v>
          </cell>
        </row>
        <row r="156">
          <cell r="B156" t="str">
            <v>A C Agarwal Share Brokers Pvt Ltd</v>
          </cell>
          <cell r="C156" t="str">
            <v>No</v>
          </cell>
          <cell r="D156">
            <v>27258</v>
          </cell>
          <cell r="E156">
            <v>2</v>
          </cell>
          <cell r="F156">
            <v>1</v>
          </cell>
          <cell r="G156">
            <v>0</v>
          </cell>
          <cell r="H156">
            <v>0</v>
          </cell>
          <cell r="I156">
            <v>1</v>
          </cell>
          <cell r="J156">
            <v>8620</v>
          </cell>
        </row>
        <row r="157">
          <cell r="B157" t="str">
            <v>Affinity Securities Pvt. Ltd.</v>
          </cell>
          <cell r="C157" t="str">
            <v>No</v>
          </cell>
          <cell r="D157">
            <v>29</v>
          </cell>
          <cell r="E157">
            <v>2</v>
          </cell>
          <cell r="F157">
            <v>2</v>
          </cell>
          <cell r="G157">
            <v>0</v>
          </cell>
          <cell r="H157">
            <v>0</v>
          </cell>
          <cell r="I157">
            <v>0</v>
          </cell>
          <cell r="J157" t="str">
            <v>-</v>
          </cell>
        </row>
        <row r="158">
          <cell r="B158" t="str">
            <v>Alankit Imaginations Limited</v>
          </cell>
          <cell r="C158" t="str">
            <v>No</v>
          </cell>
          <cell r="D158">
            <v>129787</v>
          </cell>
          <cell r="E158">
            <v>2</v>
          </cell>
          <cell r="F158">
            <v>2</v>
          </cell>
          <cell r="G158">
            <v>0</v>
          </cell>
          <cell r="H158">
            <v>0</v>
          </cell>
          <cell r="I158">
            <v>0</v>
          </cell>
          <cell r="J158">
            <v>13670</v>
          </cell>
        </row>
        <row r="159">
          <cell r="B159" t="str">
            <v>Axis Bank Ltd.</v>
          </cell>
          <cell r="C159" t="str">
            <v>No</v>
          </cell>
          <cell r="D159">
            <v>818</v>
          </cell>
          <cell r="E159">
            <v>2</v>
          </cell>
          <cell r="F159">
            <v>1</v>
          </cell>
          <cell r="G159">
            <v>0</v>
          </cell>
          <cell r="H159">
            <v>0</v>
          </cell>
          <cell r="I159">
            <v>1</v>
          </cell>
          <cell r="J159">
            <v>1</v>
          </cell>
        </row>
        <row r="160">
          <cell r="B160" t="str">
            <v>Bank Of Baroda</v>
          </cell>
          <cell r="C160" t="str">
            <v>No</v>
          </cell>
          <cell r="D160">
            <v>1</v>
          </cell>
          <cell r="E160">
            <v>2</v>
          </cell>
          <cell r="F160">
            <v>2</v>
          </cell>
          <cell r="G160">
            <v>0</v>
          </cell>
          <cell r="H160">
            <v>0</v>
          </cell>
          <cell r="I160">
            <v>0</v>
          </cell>
          <cell r="J160">
            <v>1</v>
          </cell>
        </row>
        <row r="161">
          <cell r="B161" t="str">
            <v>Bank Of India</v>
          </cell>
          <cell r="C161" t="str">
            <v>No</v>
          </cell>
          <cell r="D161" t="str">
            <v>-</v>
          </cell>
          <cell r="E161">
            <v>2</v>
          </cell>
          <cell r="F161">
            <v>1</v>
          </cell>
          <cell r="G161">
            <v>0</v>
          </cell>
          <cell r="H161">
            <v>0</v>
          </cell>
          <cell r="I161">
            <v>1</v>
          </cell>
          <cell r="J161" t="str">
            <v>-</v>
          </cell>
        </row>
        <row r="162">
          <cell r="B162" t="str">
            <v>Bgse Financials Limited</v>
          </cell>
          <cell r="C162" t="str">
            <v>No</v>
          </cell>
          <cell r="D162">
            <v>105501</v>
          </cell>
          <cell r="E162">
            <v>2</v>
          </cell>
          <cell r="F162">
            <v>1</v>
          </cell>
          <cell r="G162">
            <v>0</v>
          </cell>
          <cell r="H162">
            <v>0</v>
          </cell>
          <cell r="I162">
            <v>1</v>
          </cell>
          <cell r="J162">
            <v>12328</v>
          </cell>
        </row>
        <row r="163">
          <cell r="B163" t="str">
            <v>Bhansali Value Creations Private Limited</v>
          </cell>
          <cell r="C163" t="str">
            <v>No</v>
          </cell>
          <cell r="D163">
            <v>44622</v>
          </cell>
          <cell r="E163">
            <v>2</v>
          </cell>
          <cell r="F163">
            <v>2</v>
          </cell>
          <cell r="G163">
            <v>0</v>
          </cell>
          <cell r="H163">
            <v>0</v>
          </cell>
          <cell r="I163">
            <v>0</v>
          </cell>
          <cell r="J163">
            <v>14358</v>
          </cell>
        </row>
        <row r="164">
          <cell r="B164" t="str">
            <v>Centrum Finverse Limited</v>
          </cell>
          <cell r="C164" t="str">
            <v>No</v>
          </cell>
          <cell r="D164">
            <v>19433</v>
          </cell>
          <cell r="E164">
            <v>2</v>
          </cell>
          <cell r="F164">
            <v>2</v>
          </cell>
          <cell r="G164">
            <v>0</v>
          </cell>
          <cell r="H164">
            <v>0</v>
          </cell>
          <cell r="I164">
            <v>0</v>
          </cell>
          <cell r="J164">
            <v>2886</v>
          </cell>
        </row>
        <row r="165">
          <cell r="B165" t="str">
            <v>Definedge Securities Broking Private Limited</v>
          </cell>
          <cell r="C165" t="str">
            <v>No</v>
          </cell>
          <cell r="D165">
            <v>42625</v>
          </cell>
          <cell r="E165">
            <v>2</v>
          </cell>
          <cell r="F165">
            <v>1</v>
          </cell>
          <cell r="G165">
            <v>0</v>
          </cell>
          <cell r="H165">
            <v>0</v>
          </cell>
          <cell r="I165">
            <v>1</v>
          </cell>
          <cell r="J165">
            <v>7537</v>
          </cell>
        </row>
        <row r="166">
          <cell r="B166" t="str">
            <v>Elite Wealth Limited</v>
          </cell>
          <cell r="C166" t="str">
            <v>No</v>
          </cell>
          <cell r="D166">
            <v>41621</v>
          </cell>
          <cell r="E166">
            <v>2</v>
          </cell>
          <cell r="F166">
            <v>2</v>
          </cell>
          <cell r="G166">
            <v>0</v>
          </cell>
          <cell r="H166">
            <v>0</v>
          </cell>
          <cell r="I166">
            <v>0</v>
          </cell>
          <cell r="J166">
            <v>5662</v>
          </cell>
        </row>
        <row r="167">
          <cell r="B167" t="str">
            <v>Goldenpi Securities Private Limited</v>
          </cell>
          <cell r="C167" t="str">
            <v>No</v>
          </cell>
          <cell r="D167" t="str">
            <v>-</v>
          </cell>
          <cell r="E167">
            <v>2</v>
          </cell>
          <cell r="F167">
            <v>2</v>
          </cell>
          <cell r="G167">
            <v>0</v>
          </cell>
          <cell r="H167">
            <v>0</v>
          </cell>
          <cell r="I167">
            <v>0</v>
          </cell>
          <cell r="J167" t="str">
            <v>-</v>
          </cell>
        </row>
        <row r="168">
          <cell r="B168" t="str">
            <v>Grow-on Portfolio Pvt.ltd.</v>
          </cell>
          <cell r="C168" t="str">
            <v>No</v>
          </cell>
          <cell r="D168" t="str">
            <v>-</v>
          </cell>
          <cell r="E168">
            <v>2</v>
          </cell>
          <cell r="F168">
            <v>1</v>
          </cell>
          <cell r="G168">
            <v>0</v>
          </cell>
          <cell r="H168">
            <v>0</v>
          </cell>
          <cell r="I168">
            <v>1</v>
          </cell>
          <cell r="J168" t="str">
            <v>-</v>
          </cell>
        </row>
        <row r="169">
          <cell r="B169" t="str">
            <v>Ifci Financial Services Limited</v>
          </cell>
          <cell r="C169" t="str">
            <v>No</v>
          </cell>
          <cell r="D169">
            <v>36784</v>
          </cell>
          <cell r="E169">
            <v>2</v>
          </cell>
          <cell r="F169">
            <v>2</v>
          </cell>
          <cell r="G169">
            <v>0</v>
          </cell>
          <cell r="H169">
            <v>0</v>
          </cell>
          <cell r="I169">
            <v>0</v>
          </cell>
          <cell r="J169">
            <v>3562</v>
          </cell>
        </row>
        <row r="170">
          <cell r="B170" t="str">
            <v>Kotak Mahindra Bank Ltd.</v>
          </cell>
          <cell r="C170" t="str">
            <v>No</v>
          </cell>
          <cell r="D170">
            <v>1</v>
          </cell>
          <cell r="E170">
            <v>2</v>
          </cell>
          <cell r="F170">
            <v>1</v>
          </cell>
          <cell r="G170">
            <v>0</v>
          </cell>
          <cell r="H170">
            <v>0</v>
          </cell>
          <cell r="I170">
            <v>1</v>
          </cell>
          <cell r="J170" t="str">
            <v>-</v>
          </cell>
        </row>
        <row r="171">
          <cell r="B171" t="str">
            <v>Ksn Credence Commodities Trading Private Limited</v>
          </cell>
          <cell r="C171" t="str">
            <v>No</v>
          </cell>
          <cell r="D171">
            <v>200</v>
          </cell>
          <cell r="E171">
            <v>2</v>
          </cell>
          <cell r="F171">
            <v>2</v>
          </cell>
          <cell r="G171">
            <v>0</v>
          </cell>
          <cell r="H171">
            <v>0</v>
          </cell>
          <cell r="I171">
            <v>0</v>
          </cell>
          <cell r="J171">
            <v>70</v>
          </cell>
        </row>
        <row r="172">
          <cell r="B172" t="str">
            <v>Monarch Networth Capital Limited</v>
          </cell>
          <cell r="C172" t="str">
            <v>No</v>
          </cell>
          <cell r="D172">
            <v>320547</v>
          </cell>
          <cell r="E172">
            <v>2</v>
          </cell>
          <cell r="F172">
            <v>2</v>
          </cell>
          <cell r="G172">
            <v>0</v>
          </cell>
          <cell r="H172">
            <v>0</v>
          </cell>
          <cell r="I172">
            <v>0</v>
          </cell>
          <cell r="J172">
            <v>51226</v>
          </cell>
        </row>
        <row r="173">
          <cell r="B173" t="str">
            <v>Mse Financial Services Ltd.</v>
          </cell>
          <cell r="C173" t="str">
            <v>No</v>
          </cell>
          <cell r="D173">
            <v>21384</v>
          </cell>
          <cell r="E173">
            <v>2</v>
          </cell>
          <cell r="F173">
            <v>2</v>
          </cell>
          <cell r="G173">
            <v>0</v>
          </cell>
          <cell r="H173">
            <v>0</v>
          </cell>
          <cell r="I173">
            <v>0</v>
          </cell>
          <cell r="J173">
            <v>2426</v>
          </cell>
        </row>
        <row r="174">
          <cell r="B174" t="str">
            <v>Navkar Share &amp; Stock Brokers Private Limited</v>
          </cell>
          <cell r="C174" t="str">
            <v>No</v>
          </cell>
          <cell r="D174">
            <v>7345</v>
          </cell>
          <cell r="E174">
            <v>2</v>
          </cell>
          <cell r="F174">
            <v>2</v>
          </cell>
          <cell r="G174">
            <v>0</v>
          </cell>
          <cell r="H174">
            <v>0</v>
          </cell>
          <cell r="I174">
            <v>0</v>
          </cell>
          <cell r="J174">
            <v>2601</v>
          </cell>
        </row>
        <row r="175">
          <cell r="B175" t="str">
            <v>Neo Wealth Management Private Limited</v>
          </cell>
          <cell r="C175" t="str">
            <v>No</v>
          </cell>
          <cell r="D175">
            <v>2150</v>
          </cell>
          <cell r="E175">
            <v>2</v>
          </cell>
          <cell r="F175">
            <v>2</v>
          </cell>
          <cell r="G175">
            <v>0</v>
          </cell>
          <cell r="H175">
            <v>0</v>
          </cell>
          <cell r="I175">
            <v>0</v>
          </cell>
          <cell r="J175">
            <v>701</v>
          </cell>
        </row>
        <row r="176">
          <cell r="B176" t="str">
            <v>Prachay Securities Private Limited</v>
          </cell>
          <cell r="C176" t="str">
            <v>No</v>
          </cell>
          <cell r="D176" t="str">
            <v>-</v>
          </cell>
          <cell r="E176">
            <v>2</v>
          </cell>
          <cell r="F176">
            <v>2</v>
          </cell>
          <cell r="G176">
            <v>2</v>
          </cell>
          <cell r="H176">
            <v>0</v>
          </cell>
          <cell r="I176">
            <v>0</v>
          </cell>
          <cell r="J176" t="str">
            <v>-</v>
          </cell>
        </row>
        <row r="177">
          <cell r="B177" t="str">
            <v>Quantum Securities Pvt. Ltd.</v>
          </cell>
          <cell r="C177" t="str">
            <v>No</v>
          </cell>
          <cell r="D177">
            <v>3943</v>
          </cell>
          <cell r="E177">
            <v>2</v>
          </cell>
          <cell r="F177">
            <v>1</v>
          </cell>
          <cell r="G177">
            <v>0</v>
          </cell>
          <cell r="H177">
            <v>0</v>
          </cell>
          <cell r="I177">
            <v>1</v>
          </cell>
          <cell r="J177" t="str">
            <v>-</v>
          </cell>
        </row>
        <row r="178">
          <cell r="B178" t="str">
            <v>Raghunandan Capital Private Limited</v>
          </cell>
          <cell r="C178" t="str">
            <v>No</v>
          </cell>
          <cell r="D178">
            <v>35739</v>
          </cell>
          <cell r="E178">
            <v>2</v>
          </cell>
          <cell r="F178">
            <v>2</v>
          </cell>
          <cell r="G178">
            <v>0</v>
          </cell>
          <cell r="H178">
            <v>0</v>
          </cell>
          <cell r="I178">
            <v>0</v>
          </cell>
          <cell r="J178">
            <v>5414</v>
          </cell>
        </row>
        <row r="179">
          <cell r="B179" t="str">
            <v>Standard Chartered Securities (india) Limited</v>
          </cell>
          <cell r="C179" t="str">
            <v>No</v>
          </cell>
          <cell r="D179">
            <v>202165</v>
          </cell>
          <cell r="E179">
            <v>2</v>
          </cell>
          <cell r="F179">
            <v>1</v>
          </cell>
          <cell r="G179">
            <v>0</v>
          </cell>
          <cell r="H179">
            <v>0</v>
          </cell>
          <cell r="I179">
            <v>1</v>
          </cell>
          <cell r="J179">
            <v>9058</v>
          </cell>
        </row>
        <row r="180">
          <cell r="B180" t="str">
            <v>State Bank Of India</v>
          </cell>
          <cell r="C180" t="str">
            <v>No</v>
          </cell>
          <cell r="D180">
            <v>119</v>
          </cell>
          <cell r="E180">
            <v>2</v>
          </cell>
          <cell r="F180">
            <v>1</v>
          </cell>
          <cell r="G180">
            <v>0</v>
          </cell>
          <cell r="H180">
            <v>0</v>
          </cell>
          <cell r="I180">
            <v>1</v>
          </cell>
          <cell r="J180">
            <v>1</v>
          </cell>
        </row>
        <row r="181">
          <cell r="B181" t="str">
            <v>Svcm Securities Private Limited</v>
          </cell>
          <cell r="C181" t="str">
            <v>No</v>
          </cell>
          <cell r="D181">
            <v>522</v>
          </cell>
          <cell r="E181">
            <v>2</v>
          </cell>
          <cell r="F181">
            <v>1</v>
          </cell>
          <cell r="G181">
            <v>0</v>
          </cell>
          <cell r="H181">
            <v>0</v>
          </cell>
          <cell r="I181">
            <v>1</v>
          </cell>
          <cell r="J181">
            <v>79</v>
          </cell>
        </row>
        <row r="182">
          <cell r="B182" t="str">
            <v>Tata Securities Ltd.</v>
          </cell>
          <cell r="C182" t="str">
            <v>No</v>
          </cell>
          <cell r="D182">
            <v>25336</v>
          </cell>
          <cell r="E182">
            <v>2</v>
          </cell>
          <cell r="F182">
            <v>2</v>
          </cell>
          <cell r="G182">
            <v>0</v>
          </cell>
          <cell r="H182">
            <v>0</v>
          </cell>
          <cell r="I182">
            <v>0</v>
          </cell>
          <cell r="J182" t="str">
            <v>-</v>
          </cell>
        </row>
        <row r="183">
          <cell r="B183" t="str">
            <v>Tradeswift Broking Private Limited</v>
          </cell>
          <cell r="C183" t="str">
            <v>No</v>
          </cell>
          <cell r="D183">
            <v>19318</v>
          </cell>
          <cell r="E183">
            <v>2</v>
          </cell>
          <cell r="F183">
            <v>2</v>
          </cell>
          <cell r="G183">
            <v>0</v>
          </cell>
          <cell r="H183">
            <v>0</v>
          </cell>
          <cell r="I183">
            <v>0</v>
          </cell>
          <cell r="J183">
            <v>4139</v>
          </cell>
        </row>
        <row r="184">
          <cell r="B184" t="str">
            <v>Uae Exchange &amp; Finance Ltd.</v>
          </cell>
          <cell r="C184" t="str">
            <v>No</v>
          </cell>
          <cell r="D184">
            <v>17269</v>
          </cell>
          <cell r="E184">
            <v>2</v>
          </cell>
          <cell r="F184">
            <v>1</v>
          </cell>
          <cell r="G184">
            <v>0</v>
          </cell>
          <cell r="H184">
            <v>0</v>
          </cell>
          <cell r="I184">
            <v>1</v>
          </cell>
          <cell r="J184">
            <v>925</v>
          </cell>
        </row>
        <row r="185">
          <cell r="B185" t="str">
            <v>Union Bank Of India</v>
          </cell>
          <cell r="C185" t="str">
            <v>No</v>
          </cell>
          <cell r="D185">
            <v>17</v>
          </cell>
          <cell r="E185">
            <v>2</v>
          </cell>
          <cell r="F185">
            <v>2</v>
          </cell>
          <cell r="G185">
            <v>0</v>
          </cell>
          <cell r="H185">
            <v>0</v>
          </cell>
          <cell r="I185">
            <v>0</v>
          </cell>
          <cell r="J185">
            <v>1</v>
          </cell>
        </row>
        <row r="186">
          <cell r="B186" t="str">
            <v>Way2wealth Brokers Private Limited</v>
          </cell>
          <cell r="C186" t="str">
            <v>No</v>
          </cell>
          <cell r="D186">
            <v>173118</v>
          </cell>
          <cell r="E186">
            <v>2</v>
          </cell>
          <cell r="F186">
            <v>2</v>
          </cell>
          <cell r="G186">
            <v>0</v>
          </cell>
          <cell r="H186">
            <v>0</v>
          </cell>
          <cell r="I186">
            <v>0</v>
          </cell>
          <cell r="J186">
            <v>21881</v>
          </cell>
        </row>
        <row r="187">
          <cell r="B187" t="str">
            <v>Wealth India Financial Services Pvt Ltd</v>
          </cell>
          <cell r="C187" t="str">
            <v>No</v>
          </cell>
          <cell r="D187">
            <v>79189</v>
          </cell>
          <cell r="E187">
            <v>2</v>
          </cell>
          <cell r="F187">
            <v>1</v>
          </cell>
          <cell r="G187">
            <v>0</v>
          </cell>
          <cell r="H187">
            <v>0</v>
          </cell>
          <cell r="I187">
            <v>1</v>
          </cell>
          <cell r="J187">
            <v>9264</v>
          </cell>
        </row>
        <row r="188">
          <cell r="B188" t="str">
            <v>Wealth Mantra Commodities Pvt Ltd</v>
          </cell>
          <cell r="C188" t="str">
            <v>No</v>
          </cell>
          <cell r="D188">
            <v>34929</v>
          </cell>
          <cell r="E188">
            <v>2</v>
          </cell>
          <cell r="F188">
            <v>2</v>
          </cell>
          <cell r="G188">
            <v>0</v>
          </cell>
          <cell r="H188">
            <v>0</v>
          </cell>
          <cell r="I188">
            <v>0</v>
          </cell>
          <cell r="J188" t="str">
            <v>-</v>
          </cell>
        </row>
        <row r="189">
          <cell r="B189" t="str">
            <v>Zanskar Securities Private Limited</v>
          </cell>
          <cell r="C189" t="str">
            <v>No</v>
          </cell>
          <cell r="D189">
            <v>24431</v>
          </cell>
          <cell r="E189">
            <v>2</v>
          </cell>
          <cell r="F189">
            <v>2</v>
          </cell>
          <cell r="G189">
            <v>0</v>
          </cell>
          <cell r="H189">
            <v>0</v>
          </cell>
          <cell r="I189">
            <v>0</v>
          </cell>
          <cell r="J189">
            <v>5272</v>
          </cell>
        </row>
        <row r="190">
          <cell r="B190" t="str">
            <v>4a Securities Ltd</v>
          </cell>
          <cell r="C190" t="str">
            <v>Yes</v>
          </cell>
          <cell r="D190">
            <v>803</v>
          </cell>
          <cell r="E190">
            <v>1</v>
          </cell>
          <cell r="F190">
            <v>0</v>
          </cell>
          <cell r="G190">
            <v>1</v>
          </cell>
          <cell r="H190">
            <v>0</v>
          </cell>
          <cell r="I190">
            <v>1</v>
          </cell>
          <cell r="J190" t="str">
            <v>-</v>
          </cell>
        </row>
        <row r="191">
          <cell r="B191" t="str">
            <v>Aditya Commodities &amp; Derivatives Private Limited</v>
          </cell>
          <cell r="C191" t="str">
            <v>No</v>
          </cell>
          <cell r="D191" t="str">
            <v>-</v>
          </cell>
          <cell r="E191">
            <v>1</v>
          </cell>
          <cell r="F191">
            <v>1</v>
          </cell>
          <cell r="G191">
            <v>1</v>
          </cell>
          <cell r="H191">
            <v>0</v>
          </cell>
          <cell r="I191">
            <v>0</v>
          </cell>
          <cell r="J191" t="str">
            <v>-</v>
          </cell>
        </row>
        <row r="192">
          <cell r="B192" t="str">
            <v>Aionion Capital Market Services Private Limited</v>
          </cell>
          <cell r="C192" t="str">
            <v>No</v>
          </cell>
          <cell r="D192">
            <v>36035</v>
          </cell>
          <cell r="E192">
            <v>1</v>
          </cell>
          <cell r="F192">
            <v>1</v>
          </cell>
          <cell r="G192">
            <v>0</v>
          </cell>
          <cell r="H192">
            <v>0</v>
          </cell>
          <cell r="I192">
            <v>0</v>
          </cell>
          <cell r="J192">
            <v>31626</v>
          </cell>
        </row>
        <row r="193">
          <cell r="B193" t="str">
            <v>Ajcon Global Services Limited</v>
          </cell>
          <cell r="C193" t="str">
            <v>No</v>
          </cell>
          <cell r="D193">
            <v>19745</v>
          </cell>
          <cell r="E193">
            <v>1</v>
          </cell>
          <cell r="F193">
            <v>1</v>
          </cell>
          <cell r="G193">
            <v>0</v>
          </cell>
          <cell r="H193">
            <v>0</v>
          </cell>
          <cell r="I193">
            <v>0</v>
          </cell>
          <cell r="J193">
            <v>2028</v>
          </cell>
        </row>
        <row r="194">
          <cell r="B194" t="str">
            <v>Ans Pvt. Ltd.</v>
          </cell>
          <cell r="C194" t="str">
            <v>No</v>
          </cell>
          <cell r="D194">
            <v>55022</v>
          </cell>
          <cell r="E194">
            <v>1</v>
          </cell>
          <cell r="F194">
            <v>1</v>
          </cell>
          <cell r="G194">
            <v>0</v>
          </cell>
          <cell r="H194">
            <v>0</v>
          </cell>
          <cell r="I194">
            <v>0</v>
          </cell>
          <cell r="J194">
            <v>15487</v>
          </cell>
        </row>
        <row r="195">
          <cell r="B195" t="str">
            <v>Arcadia Commodities &amp; Trading</v>
          </cell>
          <cell r="C195" t="str">
            <v>No</v>
          </cell>
          <cell r="D195" t="str">
            <v>-</v>
          </cell>
          <cell r="E195">
            <v>1</v>
          </cell>
          <cell r="F195">
            <v>1</v>
          </cell>
          <cell r="G195">
            <v>1</v>
          </cell>
          <cell r="H195">
            <v>0</v>
          </cell>
          <cell r="I195">
            <v>0</v>
          </cell>
          <cell r="J195" t="str">
            <v>-</v>
          </cell>
        </row>
        <row r="196">
          <cell r="B196" t="str">
            <v>Asset Plus</v>
          </cell>
          <cell r="C196" t="str">
            <v>No</v>
          </cell>
          <cell r="D196">
            <v>201</v>
          </cell>
          <cell r="E196">
            <v>1</v>
          </cell>
          <cell r="F196">
            <v>0</v>
          </cell>
          <cell r="G196">
            <v>0</v>
          </cell>
          <cell r="H196">
            <v>0</v>
          </cell>
          <cell r="I196">
            <v>1</v>
          </cell>
          <cell r="J196" t="str">
            <v>-</v>
          </cell>
        </row>
        <row r="197">
          <cell r="B197" t="str">
            <v>Aum Securities Private Ltd.</v>
          </cell>
          <cell r="C197" t="str">
            <v>No</v>
          </cell>
          <cell r="D197">
            <v>3004</v>
          </cell>
          <cell r="E197">
            <v>1</v>
          </cell>
          <cell r="F197">
            <v>1</v>
          </cell>
          <cell r="G197">
            <v>0</v>
          </cell>
          <cell r="H197">
            <v>0</v>
          </cell>
          <cell r="I197">
            <v>0</v>
          </cell>
          <cell r="J197">
            <v>884</v>
          </cell>
        </row>
        <row r="198">
          <cell r="B198" t="str">
            <v>Avendus Wealth Management Private Limited</v>
          </cell>
          <cell r="C198" t="str">
            <v>No</v>
          </cell>
          <cell r="D198">
            <v>266</v>
          </cell>
          <cell r="E198">
            <v>1</v>
          </cell>
          <cell r="F198">
            <v>1</v>
          </cell>
          <cell r="G198">
            <v>0</v>
          </cell>
          <cell r="H198">
            <v>0</v>
          </cell>
          <cell r="I198">
            <v>0</v>
          </cell>
          <cell r="J198">
            <v>154</v>
          </cell>
        </row>
        <row r="199">
          <cell r="B199" t="str">
            <v>Balaji Equities Ltd.</v>
          </cell>
          <cell r="C199" t="str">
            <v>No</v>
          </cell>
          <cell r="D199">
            <v>20160</v>
          </cell>
          <cell r="E199">
            <v>1</v>
          </cell>
          <cell r="F199">
            <v>1</v>
          </cell>
          <cell r="G199">
            <v>0</v>
          </cell>
          <cell r="H199">
            <v>0</v>
          </cell>
          <cell r="I199">
            <v>0</v>
          </cell>
          <cell r="J199">
            <v>2035</v>
          </cell>
        </row>
        <row r="200">
          <cell r="B200" t="str">
            <v>Baljit Securities Pvt. Ltd.</v>
          </cell>
          <cell r="C200" t="str">
            <v>No</v>
          </cell>
          <cell r="D200">
            <v>7115</v>
          </cell>
          <cell r="E200">
            <v>1</v>
          </cell>
          <cell r="F200">
            <v>1</v>
          </cell>
          <cell r="G200">
            <v>0</v>
          </cell>
          <cell r="H200">
            <v>0</v>
          </cell>
          <cell r="I200">
            <v>0</v>
          </cell>
          <cell r="J200">
            <v>738</v>
          </cell>
        </row>
        <row r="201">
          <cell r="B201" t="str">
            <v>Blue Chip Corporation Private Limited</v>
          </cell>
          <cell r="C201" t="str">
            <v>No</v>
          </cell>
          <cell r="D201">
            <v>1243</v>
          </cell>
          <cell r="E201">
            <v>1</v>
          </cell>
          <cell r="F201">
            <v>0</v>
          </cell>
          <cell r="G201">
            <v>0</v>
          </cell>
          <cell r="H201">
            <v>0</v>
          </cell>
          <cell r="I201">
            <v>1</v>
          </cell>
          <cell r="J201" t="str">
            <v>-</v>
          </cell>
        </row>
        <row r="202">
          <cell r="B202" t="str">
            <v>Bnp Paribas</v>
          </cell>
          <cell r="C202" t="str">
            <v>No</v>
          </cell>
          <cell r="D202">
            <v>1</v>
          </cell>
          <cell r="E202">
            <v>1</v>
          </cell>
          <cell r="F202">
            <v>1</v>
          </cell>
          <cell r="G202">
            <v>0</v>
          </cell>
          <cell r="H202">
            <v>0</v>
          </cell>
          <cell r="I202">
            <v>0</v>
          </cell>
          <cell r="J202" t="str">
            <v>-</v>
          </cell>
        </row>
        <row r="203">
          <cell r="B203" t="str">
            <v>Bnp Paribas Securities India Private Limited</v>
          </cell>
          <cell r="C203" t="str">
            <v>No</v>
          </cell>
          <cell r="D203">
            <v>6793</v>
          </cell>
          <cell r="E203">
            <v>1</v>
          </cell>
          <cell r="F203">
            <v>0</v>
          </cell>
          <cell r="G203">
            <v>0</v>
          </cell>
          <cell r="H203">
            <v>0</v>
          </cell>
          <cell r="I203">
            <v>1</v>
          </cell>
          <cell r="J203">
            <v>402</v>
          </cell>
        </row>
        <row r="204">
          <cell r="B204" t="str">
            <v>Bnr Capital Services Pvt.ltd.</v>
          </cell>
          <cell r="C204" t="str">
            <v>No</v>
          </cell>
          <cell r="D204" t="str">
            <v>-</v>
          </cell>
          <cell r="E204">
            <v>1</v>
          </cell>
          <cell r="F204">
            <v>1</v>
          </cell>
          <cell r="G204">
            <v>0</v>
          </cell>
          <cell r="H204">
            <v>0</v>
          </cell>
          <cell r="I204">
            <v>0</v>
          </cell>
          <cell r="J204" t="str">
            <v>-</v>
          </cell>
        </row>
        <row r="205">
          <cell r="B205" t="str">
            <v>Bonanza Commodity Brokers Pvt. Ltd.</v>
          </cell>
          <cell r="C205" t="str">
            <v>No</v>
          </cell>
          <cell r="D205" t="str">
            <v>-</v>
          </cell>
          <cell r="E205">
            <v>1</v>
          </cell>
          <cell r="F205">
            <v>1</v>
          </cell>
          <cell r="G205">
            <v>1</v>
          </cell>
          <cell r="H205">
            <v>0</v>
          </cell>
          <cell r="I205">
            <v>0</v>
          </cell>
          <cell r="J205" t="str">
            <v>-</v>
          </cell>
        </row>
        <row r="206">
          <cell r="B206" t="str">
            <v>Canara Bank Securities Limited</v>
          </cell>
          <cell r="C206" t="str">
            <v>No</v>
          </cell>
          <cell r="D206">
            <v>137650</v>
          </cell>
          <cell r="E206">
            <v>1</v>
          </cell>
          <cell r="F206">
            <v>1</v>
          </cell>
          <cell r="G206">
            <v>0</v>
          </cell>
          <cell r="H206">
            <v>0</v>
          </cell>
          <cell r="I206">
            <v>0</v>
          </cell>
          <cell r="J206">
            <v>17494</v>
          </cell>
        </row>
        <row r="207">
          <cell r="B207" t="str">
            <v>Capstocks &amp; Securities (india) Private Limited</v>
          </cell>
          <cell r="C207" t="str">
            <v>No</v>
          </cell>
          <cell r="D207">
            <v>47101</v>
          </cell>
          <cell r="E207">
            <v>1</v>
          </cell>
          <cell r="F207">
            <v>0</v>
          </cell>
          <cell r="G207">
            <v>0</v>
          </cell>
          <cell r="H207">
            <v>0</v>
          </cell>
          <cell r="I207">
            <v>1</v>
          </cell>
          <cell r="J207">
            <v>6625</v>
          </cell>
        </row>
        <row r="208">
          <cell r="B208" t="str">
            <v>Central Bank Of India</v>
          </cell>
          <cell r="C208" t="str">
            <v>No</v>
          </cell>
          <cell r="D208">
            <v>1</v>
          </cell>
          <cell r="E208">
            <v>1</v>
          </cell>
          <cell r="F208">
            <v>0</v>
          </cell>
          <cell r="G208">
            <v>0</v>
          </cell>
          <cell r="H208">
            <v>0</v>
          </cell>
          <cell r="I208">
            <v>1</v>
          </cell>
          <cell r="J208">
            <v>1</v>
          </cell>
        </row>
        <row r="209">
          <cell r="B209" t="str">
            <v>Centricity Securities Private Limited</v>
          </cell>
          <cell r="C209" t="str">
            <v>No</v>
          </cell>
          <cell r="D209">
            <v>3</v>
          </cell>
          <cell r="E209">
            <v>1</v>
          </cell>
          <cell r="F209">
            <v>1</v>
          </cell>
          <cell r="G209">
            <v>0</v>
          </cell>
          <cell r="H209">
            <v>0</v>
          </cell>
          <cell r="I209">
            <v>0</v>
          </cell>
          <cell r="J209">
            <v>1</v>
          </cell>
        </row>
        <row r="210">
          <cell r="B210" t="str">
            <v>Dgp Securities Ltd.</v>
          </cell>
          <cell r="C210" t="str">
            <v>No</v>
          </cell>
          <cell r="D210">
            <v>244</v>
          </cell>
          <cell r="E210">
            <v>1</v>
          </cell>
          <cell r="F210">
            <v>1</v>
          </cell>
          <cell r="G210">
            <v>0</v>
          </cell>
          <cell r="H210">
            <v>0</v>
          </cell>
          <cell r="I210">
            <v>0</v>
          </cell>
          <cell r="J210" t="str">
            <v>-</v>
          </cell>
        </row>
        <row r="211">
          <cell r="B211" t="str">
            <v>Dyna Wegmans Securities Limited</v>
          </cell>
          <cell r="C211" t="str">
            <v>No</v>
          </cell>
          <cell r="D211">
            <v>1937</v>
          </cell>
          <cell r="E211">
            <v>1</v>
          </cell>
          <cell r="F211">
            <v>0</v>
          </cell>
          <cell r="G211">
            <v>0</v>
          </cell>
          <cell r="H211">
            <v>0</v>
          </cell>
          <cell r="I211">
            <v>1</v>
          </cell>
          <cell r="J211">
            <v>168</v>
          </cell>
        </row>
        <row r="212">
          <cell r="B212" t="str">
            <v>Dynamic Equities Private Limited</v>
          </cell>
          <cell r="C212" t="str">
            <v>No</v>
          </cell>
          <cell r="D212">
            <v>25822</v>
          </cell>
          <cell r="E212">
            <v>1</v>
          </cell>
          <cell r="F212">
            <v>0</v>
          </cell>
          <cell r="G212">
            <v>0</v>
          </cell>
          <cell r="H212">
            <v>0</v>
          </cell>
          <cell r="I212">
            <v>1</v>
          </cell>
          <cell r="J212">
            <v>40</v>
          </cell>
        </row>
        <row r="213">
          <cell r="B213" t="str">
            <v>Econo Broking Private Limited</v>
          </cell>
          <cell r="C213" t="str">
            <v>No</v>
          </cell>
          <cell r="D213">
            <v>86196</v>
          </cell>
          <cell r="E213">
            <v>1</v>
          </cell>
          <cell r="F213">
            <v>1</v>
          </cell>
          <cell r="G213">
            <v>0</v>
          </cell>
          <cell r="H213">
            <v>0</v>
          </cell>
          <cell r="I213">
            <v>0</v>
          </cell>
          <cell r="J213">
            <v>33451</v>
          </cell>
        </row>
        <row r="214">
          <cell r="B214" t="str">
            <v>Edelweiss Comtrade Limited</v>
          </cell>
          <cell r="C214" t="str">
            <v>No</v>
          </cell>
          <cell r="D214" t="str">
            <v>-</v>
          </cell>
          <cell r="E214">
            <v>1</v>
          </cell>
          <cell r="F214">
            <v>1</v>
          </cell>
          <cell r="G214">
            <v>1</v>
          </cell>
          <cell r="H214">
            <v>0</v>
          </cell>
          <cell r="I214">
            <v>0</v>
          </cell>
          <cell r="J214" t="str">
            <v>-</v>
          </cell>
        </row>
        <row r="215">
          <cell r="B215" t="str">
            <v>Elixir Equities Private Limited</v>
          </cell>
          <cell r="C215" t="str">
            <v>No</v>
          </cell>
          <cell r="D215">
            <v>1691</v>
          </cell>
          <cell r="E215">
            <v>1</v>
          </cell>
          <cell r="F215">
            <v>1</v>
          </cell>
          <cell r="G215">
            <v>0</v>
          </cell>
          <cell r="H215">
            <v>0</v>
          </cell>
          <cell r="I215">
            <v>0</v>
          </cell>
          <cell r="J215">
            <v>41</v>
          </cell>
        </row>
        <row r="216">
          <cell r="B216" t="str">
            <v>Essence Investments &amp; Finance Ltd.</v>
          </cell>
          <cell r="C216" t="str">
            <v>No</v>
          </cell>
          <cell r="D216" t="str">
            <v>-</v>
          </cell>
          <cell r="E216">
            <v>1</v>
          </cell>
          <cell r="F216">
            <v>1</v>
          </cell>
          <cell r="G216">
            <v>1</v>
          </cell>
          <cell r="H216">
            <v>0</v>
          </cell>
          <cell r="I216">
            <v>0</v>
          </cell>
          <cell r="J216" t="str">
            <v>-</v>
          </cell>
        </row>
        <row r="217">
          <cell r="B217" t="str">
            <v>Eureka Stock &amp; Share Broking Services Limited</v>
          </cell>
          <cell r="C217" t="str">
            <v>No</v>
          </cell>
          <cell r="D217">
            <v>95735</v>
          </cell>
          <cell r="E217">
            <v>1</v>
          </cell>
          <cell r="F217">
            <v>1</v>
          </cell>
          <cell r="G217">
            <v>0</v>
          </cell>
          <cell r="H217">
            <v>0</v>
          </cell>
          <cell r="I217">
            <v>0</v>
          </cell>
          <cell r="J217">
            <v>26101</v>
          </cell>
        </row>
        <row r="218">
          <cell r="B218" t="str">
            <v>Fair Intermediate Investment Pvt. Ltd.</v>
          </cell>
          <cell r="C218" t="str">
            <v>No</v>
          </cell>
          <cell r="D218">
            <v>14103</v>
          </cell>
          <cell r="E218">
            <v>1</v>
          </cell>
          <cell r="F218">
            <v>1</v>
          </cell>
          <cell r="G218">
            <v>0</v>
          </cell>
          <cell r="H218">
            <v>0</v>
          </cell>
          <cell r="I218">
            <v>0</v>
          </cell>
          <cell r="J218">
            <v>1424</v>
          </cell>
        </row>
        <row r="219">
          <cell r="B219" t="str">
            <v>Fingeek Digital Private Limited</v>
          </cell>
          <cell r="C219" t="str">
            <v>No</v>
          </cell>
          <cell r="D219" t="str">
            <v>-</v>
          </cell>
          <cell r="E219">
            <v>1</v>
          </cell>
          <cell r="F219">
            <v>0</v>
          </cell>
          <cell r="G219">
            <v>0</v>
          </cell>
          <cell r="H219">
            <v>0</v>
          </cell>
          <cell r="I219">
            <v>1</v>
          </cell>
          <cell r="J219" t="str">
            <v>-</v>
          </cell>
        </row>
        <row r="220">
          <cell r="B220" t="str">
            <v>Fortune Capital Services</v>
          </cell>
          <cell r="C220" t="str">
            <v>No</v>
          </cell>
          <cell r="D220">
            <v>1109</v>
          </cell>
          <cell r="E220">
            <v>1</v>
          </cell>
          <cell r="F220">
            <v>1</v>
          </cell>
          <cell r="G220">
            <v>0</v>
          </cell>
          <cell r="H220">
            <v>0</v>
          </cell>
          <cell r="I220">
            <v>0</v>
          </cell>
          <cell r="J220">
            <v>103</v>
          </cell>
        </row>
        <row r="221">
          <cell r="B221" t="str">
            <v>Frr Shares And Securities Limited</v>
          </cell>
          <cell r="C221" t="str">
            <v>No</v>
          </cell>
          <cell r="D221">
            <v>11556</v>
          </cell>
          <cell r="E221">
            <v>1</v>
          </cell>
          <cell r="F221">
            <v>1</v>
          </cell>
          <cell r="G221">
            <v>0</v>
          </cell>
          <cell r="H221">
            <v>0</v>
          </cell>
          <cell r="I221">
            <v>0</v>
          </cell>
          <cell r="J221">
            <v>1430</v>
          </cell>
        </row>
        <row r="222">
          <cell r="B222" t="str">
            <v>Ganganagar Commodity Limited</v>
          </cell>
          <cell r="C222" t="str">
            <v>No</v>
          </cell>
          <cell r="D222">
            <v>19948</v>
          </cell>
          <cell r="E222">
            <v>1</v>
          </cell>
          <cell r="F222">
            <v>0</v>
          </cell>
          <cell r="G222">
            <v>0</v>
          </cell>
          <cell r="H222">
            <v>0</v>
          </cell>
          <cell r="I222">
            <v>1</v>
          </cell>
          <cell r="J222">
            <v>5932</v>
          </cell>
        </row>
        <row r="223">
          <cell r="B223" t="str">
            <v>Gepl Capital Private Limited</v>
          </cell>
          <cell r="C223" t="str">
            <v>No</v>
          </cell>
          <cell r="D223">
            <v>44639</v>
          </cell>
          <cell r="E223">
            <v>1</v>
          </cell>
          <cell r="F223">
            <v>1</v>
          </cell>
          <cell r="G223">
            <v>0</v>
          </cell>
          <cell r="H223">
            <v>0</v>
          </cell>
          <cell r="I223">
            <v>0</v>
          </cell>
          <cell r="J223">
            <v>9907</v>
          </cell>
        </row>
        <row r="224">
          <cell r="B224" t="str">
            <v>Ghalla Bhansali Stock Brokers Private Limited</v>
          </cell>
          <cell r="C224" t="str">
            <v>No</v>
          </cell>
          <cell r="D224">
            <v>8810</v>
          </cell>
          <cell r="E224">
            <v>1</v>
          </cell>
          <cell r="F224">
            <v>1</v>
          </cell>
          <cell r="G224">
            <v>0</v>
          </cell>
          <cell r="H224">
            <v>0</v>
          </cell>
          <cell r="I224">
            <v>0</v>
          </cell>
          <cell r="J224">
            <v>1927</v>
          </cell>
        </row>
        <row r="225">
          <cell r="B225" t="str">
            <v>Giriraj Stock Broking Private Limited</v>
          </cell>
          <cell r="C225" t="str">
            <v>No</v>
          </cell>
          <cell r="D225">
            <v>7</v>
          </cell>
          <cell r="E225">
            <v>1</v>
          </cell>
          <cell r="F225">
            <v>0</v>
          </cell>
          <cell r="G225">
            <v>0</v>
          </cell>
          <cell r="H225">
            <v>0</v>
          </cell>
          <cell r="I225">
            <v>1</v>
          </cell>
          <cell r="J225">
            <v>4</v>
          </cell>
        </row>
        <row r="226">
          <cell r="B226" t="str">
            <v>Global Vision Securities Private Limited</v>
          </cell>
          <cell r="C226" t="str">
            <v>No</v>
          </cell>
          <cell r="D226">
            <v>4</v>
          </cell>
          <cell r="E226">
            <v>1</v>
          </cell>
          <cell r="F226">
            <v>1</v>
          </cell>
          <cell r="G226">
            <v>0</v>
          </cell>
          <cell r="H226">
            <v>0</v>
          </cell>
          <cell r="I226">
            <v>0</v>
          </cell>
          <cell r="J226">
            <v>1</v>
          </cell>
        </row>
        <row r="227">
          <cell r="B227" t="str">
            <v>Greshma Shares &amp; Stocks Limited</v>
          </cell>
          <cell r="C227" t="str">
            <v>No</v>
          </cell>
          <cell r="D227">
            <v>10119</v>
          </cell>
          <cell r="E227">
            <v>1</v>
          </cell>
          <cell r="F227">
            <v>1</v>
          </cell>
          <cell r="G227">
            <v>0</v>
          </cell>
          <cell r="H227">
            <v>0</v>
          </cell>
          <cell r="I227">
            <v>0</v>
          </cell>
          <cell r="J227">
            <v>2184</v>
          </cell>
        </row>
        <row r="228">
          <cell r="B228" t="str">
            <v>Hensex Securities Private Limited</v>
          </cell>
          <cell r="C228" t="str">
            <v>No</v>
          </cell>
          <cell r="D228">
            <v>10049</v>
          </cell>
          <cell r="E228">
            <v>1</v>
          </cell>
          <cell r="F228">
            <v>1</v>
          </cell>
          <cell r="G228">
            <v>0</v>
          </cell>
          <cell r="H228">
            <v>0</v>
          </cell>
          <cell r="I228">
            <v>0</v>
          </cell>
          <cell r="J228">
            <v>1</v>
          </cell>
        </row>
        <row r="229">
          <cell r="B229" t="str">
            <v>India Advantage Securities Private Limited</v>
          </cell>
          <cell r="C229" t="str">
            <v>No</v>
          </cell>
          <cell r="D229">
            <v>28084</v>
          </cell>
          <cell r="E229">
            <v>1</v>
          </cell>
          <cell r="F229">
            <v>1</v>
          </cell>
          <cell r="G229">
            <v>0</v>
          </cell>
          <cell r="H229">
            <v>0</v>
          </cell>
          <cell r="I229">
            <v>0</v>
          </cell>
          <cell r="J229">
            <v>4496</v>
          </cell>
        </row>
        <row r="230">
          <cell r="B230" t="str">
            <v>Indira Securities Private Limited</v>
          </cell>
          <cell r="C230" t="str">
            <v>No</v>
          </cell>
          <cell r="D230">
            <v>49531</v>
          </cell>
          <cell r="E230">
            <v>1</v>
          </cell>
          <cell r="F230">
            <v>1</v>
          </cell>
          <cell r="G230">
            <v>0</v>
          </cell>
          <cell r="H230">
            <v>0</v>
          </cell>
          <cell r="I230">
            <v>0</v>
          </cell>
          <cell r="J230">
            <v>9706</v>
          </cell>
        </row>
        <row r="231">
          <cell r="B231" t="str">
            <v>Integra Securities Private Limited</v>
          </cell>
          <cell r="C231" t="str">
            <v>No</v>
          </cell>
          <cell r="D231">
            <v>761</v>
          </cell>
          <cell r="E231">
            <v>1</v>
          </cell>
          <cell r="F231">
            <v>1</v>
          </cell>
          <cell r="G231">
            <v>0</v>
          </cell>
          <cell r="H231">
            <v>0</v>
          </cell>
          <cell r="I231">
            <v>0</v>
          </cell>
          <cell r="J231">
            <v>56</v>
          </cell>
        </row>
        <row r="232">
          <cell r="B232" t="str">
            <v>Iss Enterprise Limited</v>
          </cell>
          <cell r="C232" t="str">
            <v>No</v>
          </cell>
          <cell r="D232">
            <v>157929</v>
          </cell>
          <cell r="E232">
            <v>1</v>
          </cell>
          <cell r="F232">
            <v>1</v>
          </cell>
          <cell r="G232">
            <v>0</v>
          </cell>
          <cell r="H232">
            <v>0</v>
          </cell>
          <cell r="I232">
            <v>0</v>
          </cell>
          <cell r="J232">
            <v>14283</v>
          </cell>
        </row>
        <row r="233">
          <cell r="B233" t="str">
            <v>Jk Securities Pvt. Ltd.</v>
          </cell>
          <cell r="C233" t="str">
            <v>No</v>
          </cell>
          <cell r="D233">
            <v>42587</v>
          </cell>
          <cell r="E233">
            <v>1</v>
          </cell>
          <cell r="F233">
            <v>1</v>
          </cell>
          <cell r="G233">
            <v>0</v>
          </cell>
          <cell r="H233">
            <v>0</v>
          </cell>
          <cell r="I233">
            <v>0</v>
          </cell>
          <cell r="J233">
            <v>10171</v>
          </cell>
        </row>
        <row r="234">
          <cell r="B234" t="str">
            <v>Kantilal Chhaganlal Securities Private Limited</v>
          </cell>
          <cell r="C234" t="str">
            <v>No</v>
          </cell>
          <cell r="D234">
            <v>53214</v>
          </cell>
          <cell r="E234">
            <v>1</v>
          </cell>
          <cell r="F234">
            <v>1</v>
          </cell>
          <cell r="G234">
            <v>0</v>
          </cell>
          <cell r="H234">
            <v>0</v>
          </cell>
          <cell r="I234">
            <v>0</v>
          </cell>
          <cell r="J234">
            <v>3167</v>
          </cell>
        </row>
        <row r="235">
          <cell r="B235" t="str">
            <v>Kedia Shares &amp; Stocks Brokers Limited</v>
          </cell>
          <cell r="C235" t="str">
            <v>No</v>
          </cell>
          <cell r="D235">
            <v>3565</v>
          </cell>
          <cell r="E235">
            <v>1</v>
          </cell>
          <cell r="F235">
            <v>1</v>
          </cell>
          <cell r="G235">
            <v>0</v>
          </cell>
          <cell r="H235">
            <v>0</v>
          </cell>
          <cell r="I235">
            <v>0</v>
          </cell>
          <cell r="J235">
            <v>704</v>
          </cell>
        </row>
        <row r="236">
          <cell r="B236" t="str">
            <v>Khosla Tradewise Private Limited</v>
          </cell>
          <cell r="C236" t="str">
            <v>No</v>
          </cell>
          <cell r="D236">
            <v>260</v>
          </cell>
          <cell r="E236">
            <v>1</v>
          </cell>
          <cell r="F236">
            <v>0</v>
          </cell>
          <cell r="G236">
            <v>0</v>
          </cell>
          <cell r="H236">
            <v>0</v>
          </cell>
          <cell r="I236">
            <v>1</v>
          </cell>
          <cell r="J236">
            <v>33</v>
          </cell>
        </row>
        <row r="237">
          <cell r="B237" t="str">
            <v>Kifs Broking Private Limited</v>
          </cell>
          <cell r="C237" t="str">
            <v>No</v>
          </cell>
          <cell r="D237">
            <v>14</v>
          </cell>
          <cell r="E237">
            <v>1</v>
          </cell>
          <cell r="F237">
            <v>1</v>
          </cell>
          <cell r="G237">
            <v>0</v>
          </cell>
          <cell r="H237">
            <v>0</v>
          </cell>
          <cell r="I237">
            <v>0</v>
          </cell>
          <cell r="J237">
            <v>6</v>
          </cell>
        </row>
        <row r="238">
          <cell r="B238" t="str">
            <v>Kotak Commodity Services Private Limited</v>
          </cell>
          <cell r="C238" t="str">
            <v>No</v>
          </cell>
          <cell r="D238" t="str">
            <v>-</v>
          </cell>
          <cell r="E238">
            <v>1</v>
          </cell>
          <cell r="F238">
            <v>1</v>
          </cell>
          <cell r="G238">
            <v>1</v>
          </cell>
          <cell r="H238">
            <v>0</v>
          </cell>
          <cell r="I238">
            <v>0</v>
          </cell>
          <cell r="J238" t="str">
            <v>-</v>
          </cell>
        </row>
        <row r="239">
          <cell r="B239" t="str">
            <v>Lakshmishree Investment &amp; Securities Pvt. Ltd.</v>
          </cell>
          <cell r="C239" t="str">
            <v>No</v>
          </cell>
          <cell r="D239">
            <v>93945</v>
          </cell>
          <cell r="E239">
            <v>1</v>
          </cell>
          <cell r="F239">
            <v>1</v>
          </cell>
          <cell r="G239">
            <v>0</v>
          </cell>
          <cell r="H239">
            <v>0</v>
          </cell>
          <cell r="I239">
            <v>0</v>
          </cell>
          <cell r="J239">
            <v>26636</v>
          </cell>
        </row>
        <row r="240">
          <cell r="B240" t="str">
            <v>M G Capital Services Ltd.</v>
          </cell>
          <cell r="C240" t="str">
            <v>No</v>
          </cell>
          <cell r="D240">
            <v>5927</v>
          </cell>
          <cell r="E240">
            <v>1</v>
          </cell>
          <cell r="F240">
            <v>1</v>
          </cell>
          <cell r="G240">
            <v>0</v>
          </cell>
          <cell r="H240">
            <v>0</v>
          </cell>
          <cell r="I240">
            <v>0</v>
          </cell>
          <cell r="J240" t="str">
            <v>-</v>
          </cell>
        </row>
        <row r="241">
          <cell r="B241" t="str">
            <v>Maheshwari Equity Services (p) Limited</v>
          </cell>
          <cell r="C241" t="str">
            <v>No</v>
          </cell>
          <cell r="D241">
            <v>216</v>
          </cell>
          <cell r="E241">
            <v>1</v>
          </cell>
          <cell r="F241">
            <v>1</v>
          </cell>
          <cell r="G241">
            <v>0</v>
          </cell>
          <cell r="H241">
            <v>0</v>
          </cell>
          <cell r="I241">
            <v>0</v>
          </cell>
          <cell r="J241">
            <v>51</v>
          </cell>
        </row>
        <row r="242">
          <cell r="B242" t="str">
            <v>Mangal Keshav Financial Services Llp</v>
          </cell>
          <cell r="C242" t="str">
            <v>No</v>
          </cell>
          <cell r="D242">
            <v>86685</v>
          </cell>
          <cell r="E242">
            <v>1</v>
          </cell>
          <cell r="F242">
            <v>1</v>
          </cell>
          <cell r="G242">
            <v>0</v>
          </cell>
          <cell r="H242">
            <v>0</v>
          </cell>
          <cell r="I242">
            <v>0</v>
          </cell>
          <cell r="J242">
            <v>5698</v>
          </cell>
        </row>
        <row r="243">
          <cell r="B243" t="str">
            <v>Mansukh Securities &amp; Finance Limited</v>
          </cell>
          <cell r="C243" t="str">
            <v>No</v>
          </cell>
          <cell r="D243">
            <v>85820</v>
          </cell>
          <cell r="E243">
            <v>1</v>
          </cell>
          <cell r="F243">
            <v>0</v>
          </cell>
          <cell r="G243">
            <v>0</v>
          </cell>
          <cell r="H243">
            <v>0</v>
          </cell>
          <cell r="I243">
            <v>1</v>
          </cell>
          <cell r="J243">
            <v>7681</v>
          </cell>
        </row>
        <row r="244">
          <cell r="B244" t="str">
            <v>Marck Securities Pvt. Ltd.</v>
          </cell>
          <cell r="C244" t="str">
            <v>No</v>
          </cell>
          <cell r="D244">
            <v>7404</v>
          </cell>
          <cell r="E244">
            <v>1</v>
          </cell>
          <cell r="F244">
            <v>1</v>
          </cell>
          <cell r="G244">
            <v>0</v>
          </cell>
          <cell r="H244">
            <v>0</v>
          </cell>
          <cell r="I244">
            <v>0</v>
          </cell>
          <cell r="J244">
            <v>485</v>
          </cell>
        </row>
        <row r="245">
          <cell r="B245" t="str">
            <v>Marfatia Stock Broking Private Limited</v>
          </cell>
          <cell r="C245" t="str">
            <v>No</v>
          </cell>
          <cell r="D245">
            <v>32467</v>
          </cell>
          <cell r="E245">
            <v>1</v>
          </cell>
          <cell r="F245">
            <v>0</v>
          </cell>
          <cell r="G245">
            <v>0</v>
          </cell>
          <cell r="H245">
            <v>0</v>
          </cell>
          <cell r="I245">
            <v>1</v>
          </cell>
          <cell r="J245">
            <v>5000</v>
          </cell>
        </row>
        <row r="246">
          <cell r="B246" t="str">
            <v>Mehta Equities Limited</v>
          </cell>
          <cell r="C246" t="str">
            <v>No</v>
          </cell>
          <cell r="D246">
            <v>41046</v>
          </cell>
          <cell r="E246">
            <v>1</v>
          </cell>
          <cell r="F246">
            <v>0</v>
          </cell>
          <cell r="G246">
            <v>0</v>
          </cell>
          <cell r="H246">
            <v>0</v>
          </cell>
          <cell r="I246">
            <v>1</v>
          </cell>
          <cell r="J246">
            <v>6878</v>
          </cell>
        </row>
        <row r="247">
          <cell r="B247" t="str">
            <v>Morgan Stanley India Company Private Limited</v>
          </cell>
          <cell r="C247" t="str">
            <v>No</v>
          </cell>
          <cell r="D247">
            <v>21158</v>
          </cell>
          <cell r="E247">
            <v>1</v>
          </cell>
          <cell r="F247">
            <v>1</v>
          </cell>
          <cell r="G247">
            <v>0</v>
          </cell>
          <cell r="H247">
            <v>0</v>
          </cell>
          <cell r="I247">
            <v>0</v>
          </cell>
          <cell r="J247">
            <v>406</v>
          </cell>
        </row>
        <row r="248">
          <cell r="B248" t="str">
            <v>Multigain Securities Services Pvt. Ltd.</v>
          </cell>
          <cell r="C248" t="str">
            <v>No</v>
          </cell>
          <cell r="D248">
            <v>3253</v>
          </cell>
          <cell r="E248">
            <v>1</v>
          </cell>
          <cell r="F248">
            <v>1</v>
          </cell>
          <cell r="G248">
            <v>0</v>
          </cell>
          <cell r="H248">
            <v>0</v>
          </cell>
          <cell r="I248">
            <v>0</v>
          </cell>
          <cell r="J248">
            <v>185</v>
          </cell>
        </row>
        <row r="249">
          <cell r="B249" t="str">
            <v>Nikunj Stock Brokers Ltd.</v>
          </cell>
          <cell r="C249" t="str">
            <v>No</v>
          </cell>
          <cell r="D249">
            <v>12785</v>
          </cell>
          <cell r="E249">
            <v>1</v>
          </cell>
          <cell r="F249">
            <v>1</v>
          </cell>
          <cell r="G249">
            <v>0</v>
          </cell>
          <cell r="H249">
            <v>0</v>
          </cell>
          <cell r="I249">
            <v>0</v>
          </cell>
          <cell r="J249">
            <v>1898</v>
          </cell>
        </row>
        <row r="250">
          <cell r="B250" t="str">
            <v>Nnm Securities Pvt. Ltd.</v>
          </cell>
          <cell r="C250" t="str">
            <v>No</v>
          </cell>
          <cell r="D250">
            <v>4642</v>
          </cell>
          <cell r="E250">
            <v>1</v>
          </cell>
          <cell r="F250">
            <v>1</v>
          </cell>
          <cell r="G250">
            <v>0</v>
          </cell>
          <cell r="H250">
            <v>0</v>
          </cell>
          <cell r="I250">
            <v>0</v>
          </cell>
          <cell r="J250">
            <v>876</v>
          </cell>
        </row>
        <row r="251">
          <cell r="B251" t="str">
            <v>Orbis Financial Corporation Limited</v>
          </cell>
          <cell r="C251" t="str">
            <v>No</v>
          </cell>
          <cell r="D251" t="str">
            <v>-</v>
          </cell>
          <cell r="E251">
            <v>1</v>
          </cell>
          <cell r="F251">
            <v>1</v>
          </cell>
          <cell r="G251">
            <v>0</v>
          </cell>
          <cell r="H251">
            <v>0</v>
          </cell>
          <cell r="I251">
            <v>0</v>
          </cell>
          <cell r="J251" t="str">
            <v>-</v>
          </cell>
        </row>
        <row r="252">
          <cell r="B252" t="str">
            <v>Pace Stock Broking Services Private Limited</v>
          </cell>
          <cell r="C252" t="str">
            <v>No</v>
          </cell>
          <cell r="D252">
            <v>46104</v>
          </cell>
          <cell r="E252">
            <v>1</v>
          </cell>
          <cell r="F252">
            <v>1</v>
          </cell>
          <cell r="G252">
            <v>0</v>
          </cell>
          <cell r="H252">
            <v>0</v>
          </cell>
          <cell r="I252">
            <v>0</v>
          </cell>
          <cell r="J252">
            <v>4080</v>
          </cell>
        </row>
        <row r="253">
          <cell r="B253" t="str">
            <v>Pcs Securities Ltd.</v>
          </cell>
          <cell r="C253" t="str">
            <v>No</v>
          </cell>
          <cell r="D253">
            <v>53227</v>
          </cell>
          <cell r="E253">
            <v>1</v>
          </cell>
          <cell r="F253">
            <v>1</v>
          </cell>
          <cell r="G253">
            <v>0</v>
          </cell>
          <cell r="H253">
            <v>0</v>
          </cell>
          <cell r="I253">
            <v>0</v>
          </cell>
          <cell r="J253" t="str">
            <v>-</v>
          </cell>
        </row>
        <row r="254">
          <cell r="B254" t="str">
            <v>Peerless Securities Limited</v>
          </cell>
          <cell r="C254" t="str">
            <v>No</v>
          </cell>
          <cell r="D254">
            <v>27148</v>
          </cell>
          <cell r="E254">
            <v>1</v>
          </cell>
          <cell r="F254">
            <v>1</v>
          </cell>
          <cell r="G254">
            <v>0</v>
          </cell>
          <cell r="H254">
            <v>0</v>
          </cell>
          <cell r="I254">
            <v>0</v>
          </cell>
          <cell r="J254">
            <v>4396</v>
          </cell>
        </row>
        <row r="255">
          <cell r="B255" t="str">
            <v>Pravin Ratilal Share And Stock Brokers Ltd</v>
          </cell>
          <cell r="C255" t="str">
            <v>No</v>
          </cell>
          <cell r="D255">
            <v>39966</v>
          </cell>
          <cell r="E255">
            <v>1</v>
          </cell>
          <cell r="F255">
            <v>1</v>
          </cell>
          <cell r="G255">
            <v>0</v>
          </cell>
          <cell r="H255">
            <v>0</v>
          </cell>
          <cell r="I255">
            <v>0</v>
          </cell>
          <cell r="J255">
            <v>11545</v>
          </cell>
        </row>
        <row r="256">
          <cell r="B256" t="str">
            <v>Prudent Broking Services Private Limited</v>
          </cell>
          <cell r="C256" t="str">
            <v>No</v>
          </cell>
          <cell r="D256">
            <v>62763</v>
          </cell>
          <cell r="E256">
            <v>1</v>
          </cell>
          <cell r="F256">
            <v>1</v>
          </cell>
          <cell r="G256">
            <v>0</v>
          </cell>
          <cell r="H256">
            <v>0</v>
          </cell>
          <cell r="I256">
            <v>0</v>
          </cell>
          <cell r="J256" t="str">
            <v>-</v>
          </cell>
        </row>
        <row r="257">
          <cell r="B257" t="str">
            <v>Punjab National Bank</v>
          </cell>
          <cell r="C257" t="str">
            <v>No</v>
          </cell>
          <cell r="D257">
            <v>3</v>
          </cell>
          <cell r="E257">
            <v>1</v>
          </cell>
          <cell r="F257">
            <v>1</v>
          </cell>
          <cell r="G257">
            <v>0</v>
          </cell>
          <cell r="H257">
            <v>0</v>
          </cell>
          <cell r="I257">
            <v>0</v>
          </cell>
          <cell r="J257">
            <v>1</v>
          </cell>
        </row>
        <row r="258">
          <cell r="B258" t="str">
            <v>Quant Institutional Equities Private Limited</v>
          </cell>
          <cell r="C258" t="str">
            <v>No</v>
          </cell>
          <cell r="D258" t="str">
            <v>-</v>
          </cell>
          <cell r="E258">
            <v>1</v>
          </cell>
          <cell r="F258">
            <v>1</v>
          </cell>
          <cell r="G258">
            <v>1</v>
          </cell>
          <cell r="H258">
            <v>0</v>
          </cell>
          <cell r="I258">
            <v>0</v>
          </cell>
          <cell r="J258" t="str">
            <v>-</v>
          </cell>
        </row>
        <row r="259">
          <cell r="B259" t="str">
            <v>Quant Securities Private Limited</v>
          </cell>
          <cell r="C259" t="str">
            <v>No</v>
          </cell>
          <cell r="D259">
            <v>284</v>
          </cell>
          <cell r="E259">
            <v>1</v>
          </cell>
          <cell r="F259">
            <v>1</v>
          </cell>
          <cell r="G259">
            <v>0</v>
          </cell>
          <cell r="H259">
            <v>0</v>
          </cell>
          <cell r="I259">
            <v>0</v>
          </cell>
          <cell r="J259" t="str">
            <v>-</v>
          </cell>
        </row>
        <row r="260">
          <cell r="B260" t="str">
            <v>Rikhav Securities Limited</v>
          </cell>
          <cell r="C260" t="str">
            <v>No</v>
          </cell>
          <cell r="D260">
            <v>21402</v>
          </cell>
          <cell r="E260">
            <v>1</v>
          </cell>
          <cell r="F260">
            <v>1</v>
          </cell>
          <cell r="G260">
            <v>0</v>
          </cell>
          <cell r="H260">
            <v>0</v>
          </cell>
          <cell r="I260">
            <v>0</v>
          </cell>
          <cell r="J260">
            <v>5162</v>
          </cell>
        </row>
        <row r="261">
          <cell r="B261" t="str">
            <v>Rudranath Stock Broking Private Limited</v>
          </cell>
          <cell r="C261" t="str">
            <v>No</v>
          </cell>
          <cell r="D261" t="str">
            <v>-</v>
          </cell>
          <cell r="E261">
            <v>1</v>
          </cell>
          <cell r="F261">
            <v>1</v>
          </cell>
          <cell r="G261">
            <v>1</v>
          </cell>
          <cell r="H261">
            <v>0</v>
          </cell>
          <cell r="I261">
            <v>0</v>
          </cell>
          <cell r="J261" t="str">
            <v>-</v>
          </cell>
        </row>
        <row r="262">
          <cell r="B262" t="str">
            <v>Saurashtra Capital Services Pvt. Ltd</v>
          </cell>
          <cell r="C262" t="str">
            <v>No</v>
          </cell>
          <cell r="D262">
            <v>3051</v>
          </cell>
          <cell r="E262">
            <v>1</v>
          </cell>
          <cell r="F262">
            <v>1</v>
          </cell>
          <cell r="G262">
            <v>0</v>
          </cell>
          <cell r="H262">
            <v>0</v>
          </cell>
          <cell r="I262">
            <v>0</v>
          </cell>
          <cell r="J262">
            <v>269</v>
          </cell>
        </row>
        <row r="263">
          <cell r="B263" t="str">
            <v>Shah Investors Home Limited</v>
          </cell>
          <cell r="C263" t="str">
            <v>No</v>
          </cell>
          <cell r="D263">
            <v>137582</v>
          </cell>
          <cell r="E263">
            <v>1</v>
          </cell>
          <cell r="F263">
            <v>1</v>
          </cell>
          <cell r="G263">
            <v>0</v>
          </cell>
          <cell r="H263">
            <v>0</v>
          </cell>
          <cell r="I263">
            <v>0</v>
          </cell>
          <cell r="J263">
            <v>37675</v>
          </cell>
        </row>
        <row r="264">
          <cell r="B264" t="str">
            <v>Shri Ram Commodities</v>
          </cell>
          <cell r="C264" t="str">
            <v>No</v>
          </cell>
          <cell r="D264">
            <v>417</v>
          </cell>
          <cell r="E264">
            <v>1</v>
          </cell>
          <cell r="F264">
            <v>1</v>
          </cell>
          <cell r="G264">
            <v>0</v>
          </cell>
          <cell r="H264">
            <v>0</v>
          </cell>
          <cell r="I264">
            <v>0</v>
          </cell>
          <cell r="J264">
            <v>36</v>
          </cell>
        </row>
        <row r="265">
          <cell r="B265" t="str">
            <v>Stockfield Financial Services Private Limited</v>
          </cell>
          <cell r="C265" t="str">
            <v>No</v>
          </cell>
          <cell r="D265">
            <v>949</v>
          </cell>
          <cell r="E265">
            <v>1</v>
          </cell>
          <cell r="F265">
            <v>1</v>
          </cell>
          <cell r="G265">
            <v>0</v>
          </cell>
          <cell r="H265">
            <v>0</v>
          </cell>
          <cell r="I265">
            <v>0</v>
          </cell>
          <cell r="J265">
            <v>1</v>
          </cell>
        </row>
        <row r="266">
          <cell r="B266" t="str">
            <v>Sunidhi Securities &amp; Finance Limited</v>
          </cell>
          <cell r="C266" t="str">
            <v>No</v>
          </cell>
          <cell r="D266">
            <v>60156</v>
          </cell>
          <cell r="E266">
            <v>1</v>
          </cell>
          <cell r="F266">
            <v>1</v>
          </cell>
          <cell r="G266">
            <v>0</v>
          </cell>
          <cell r="H266">
            <v>0</v>
          </cell>
          <cell r="I266">
            <v>0</v>
          </cell>
          <cell r="J266">
            <v>7803</v>
          </cell>
        </row>
        <row r="267">
          <cell r="B267" t="str">
            <v>Suresh Rathi Securities Private Limited</v>
          </cell>
          <cell r="C267" t="str">
            <v>No</v>
          </cell>
          <cell r="D267">
            <v>154959</v>
          </cell>
          <cell r="E267">
            <v>1</v>
          </cell>
          <cell r="F267">
            <v>0</v>
          </cell>
          <cell r="G267">
            <v>0</v>
          </cell>
          <cell r="H267">
            <v>0</v>
          </cell>
          <cell r="I267">
            <v>1</v>
          </cell>
          <cell r="J267">
            <v>45707</v>
          </cell>
        </row>
        <row r="268">
          <cell r="B268" t="str">
            <v>Sushil Financial Services Private Limited</v>
          </cell>
          <cell r="C268" t="str">
            <v>No</v>
          </cell>
          <cell r="D268">
            <v>235457</v>
          </cell>
          <cell r="E268">
            <v>1</v>
          </cell>
          <cell r="F268">
            <v>1</v>
          </cell>
          <cell r="G268">
            <v>0</v>
          </cell>
          <cell r="H268">
            <v>0</v>
          </cell>
          <cell r="I268">
            <v>0</v>
          </cell>
          <cell r="J268">
            <v>47481</v>
          </cell>
        </row>
        <row r="269">
          <cell r="B269" t="str">
            <v>Systematix Shares &amp; Stocks (india) Ltd.</v>
          </cell>
          <cell r="C269" t="str">
            <v>No</v>
          </cell>
          <cell r="D269">
            <v>61900</v>
          </cell>
          <cell r="E269">
            <v>1</v>
          </cell>
          <cell r="F269">
            <v>0</v>
          </cell>
          <cell r="G269">
            <v>0</v>
          </cell>
          <cell r="H269">
            <v>0</v>
          </cell>
          <cell r="I269">
            <v>1</v>
          </cell>
          <cell r="J269">
            <v>5010</v>
          </cell>
        </row>
        <row r="270">
          <cell r="B270" t="str">
            <v>Tradebook Consultancy Services Private Limited</v>
          </cell>
          <cell r="C270" t="str">
            <v>No</v>
          </cell>
          <cell r="D270" t="str">
            <v>-</v>
          </cell>
          <cell r="E270">
            <v>1</v>
          </cell>
          <cell r="F270">
            <v>0</v>
          </cell>
          <cell r="G270">
            <v>0</v>
          </cell>
          <cell r="H270">
            <v>0</v>
          </cell>
          <cell r="I270">
            <v>1</v>
          </cell>
          <cell r="J270">
            <v>253</v>
          </cell>
        </row>
        <row r="271">
          <cell r="B271" t="str">
            <v>Tradejini Financial Services Pvt Ltd</v>
          </cell>
          <cell r="C271" t="str">
            <v>No</v>
          </cell>
          <cell r="D271">
            <v>66086</v>
          </cell>
          <cell r="E271">
            <v>1</v>
          </cell>
          <cell r="F271">
            <v>1</v>
          </cell>
          <cell r="G271">
            <v>0</v>
          </cell>
          <cell r="H271">
            <v>0</v>
          </cell>
          <cell r="I271">
            <v>0</v>
          </cell>
          <cell r="J271">
            <v>11680</v>
          </cell>
        </row>
        <row r="272">
          <cell r="B272" t="str">
            <v>Wealthyin Broking Private Limited</v>
          </cell>
          <cell r="C272" t="str">
            <v>No</v>
          </cell>
          <cell r="D272">
            <v>33645</v>
          </cell>
          <cell r="E272">
            <v>1</v>
          </cell>
          <cell r="F272">
            <v>1</v>
          </cell>
          <cell r="G272">
            <v>0</v>
          </cell>
          <cell r="H272">
            <v>0</v>
          </cell>
          <cell r="I272">
            <v>0</v>
          </cell>
          <cell r="J272">
            <v>7454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Prabal Selwadiya" id="{45E6C18B-D63D-45C7-B049-27FAB2BD2D7A}" userId="S::prabal.selwadiya@bajajbroking.in::ba547732-48f4-4194-8b68-ec3df1128f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6" dT="2026-05-22T07:21:14.19" personId="{45E6C18B-D63D-45C7-B049-27FAB2BD2D7A}" id="{2DE96239-B88D-459C-AF38-F1E661FB7A24}">
    <text xml:space="preserve">@Mridul Sapra not updated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ovt.@%20(lakh%20Crore)" TargetMode="External"/><Relationship Id="rId2" Type="http://schemas.openxmlformats.org/officeDocument/2006/relationships/hyperlink" Target="https://www.bseindia.com/markets/equity/eqreports/grossdel" TargetMode="External"/><Relationship Id="rId1" Type="http://schemas.openxmlformats.org/officeDocument/2006/relationships/hyperlink" Target="https://www.nseindia.com/all-reports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mfiindia.com/sif/sif-monthly" TargetMode="External"/><Relationship Id="rId2" Type="http://schemas.openxmlformats.org/officeDocument/2006/relationships/hyperlink" Target="https://www.amfiindia.com/mutual-fund" TargetMode="External"/><Relationship Id="rId1" Type="http://schemas.openxmlformats.org/officeDocument/2006/relationships/hyperlink" Target="https://www.amfiindia.com/research-information/amfi-monthl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FFC54-6ABB-4788-81D8-C6029B6E6988}">
  <dimension ref="A1:BO40"/>
  <sheetViews>
    <sheetView workbookViewId="0">
      <pane xSplit="1" topLeftCell="AC1" activePane="topRight" state="frozen"/>
      <selection activeCell="A3" sqref="A3"/>
      <selection pane="topRight" activeCell="AH7" sqref="AH7"/>
    </sheetView>
  </sheetViews>
  <sheetFormatPr defaultRowHeight="15" x14ac:dyDescent="0.4"/>
  <cols>
    <col min="1" max="1" width="31.90625" style="8" bestFit="1" customWidth="1"/>
    <col min="2" max="2" width="15.6328125" style="8" bestFit="1" customWidth="1"/>
    <col min="3" max="3" width="31.54296875" style="8" bestFit="1" customWidth="1"/>
    <col min="4" max="4" width="11.1796875" style="8" hidden="1" customWidth="1"/>
    <col min="5" max="5" width="15" style="8" bestFit="1" customWidth="1"/>
    <col min="6" max="6" width="15.36328125" style="8" bestFit="1" customWidth="1"/>
    <col min="7" max="7" width="14.6328125" style="8" bestFit="1" customWidth="1"/>
    <col min="8" max="8" width="16.1796875" style="8" bestFit="1" customWidth="1"/>
    <col min="9" max="9" width="16.36328125" style="8" bestFit="1" customWidth="1"/>
    <col min="10" max="10" width="16.1796875" style="8" bestFit="1" customWidth="1"/>
    <col min="11" max="11" width="16.453125" style="8" bestFit="1" customWidth="1"/>
    <col min="12" max="12" width="14.6328125" style="8" bestFit="1" customWidth="1"/>
    <col min="13" max="13" width="14.90625" style="8" bestFit="1" customWidth="1"/>
    <col min="14" max="14" width="14.453125" style="8" bestFit="1" customWidth="1"/>
    <col min="15" max="15" width="14" style="8" bestFit="1" customWidth="1"/>
    <col min="16" max="16" width="14.54296875" style="8" bestFit="1" customWidth="1"/>
    <col min="17" max="17" width="14.7265625" style="8" bestFit="1" customWidth="1"/>
    <col min="18" max="18" width="14.08984375" style="8" bestFit="1" customWidth="1"/>
    <col min="19" max="19" width="15" style="8" bestFit="1" customWidth="1"/>
    <col min="20" max="20" width="14.81640625" style="8" bestFit="1" customWidth="1"/>
    <col min="21" max="21" width="14.36328125" style="8" bestFit="1" customWidth="1"/>
    <col min="22" max="22" width="14.26953125" style="8" bestFit="1" customWidth="1"/>
    <col min="23" max="23" width="16.7265625" style="8" bestFit="1" customWidth="1"/>
    <col min="24" max="24" width="14.26953125" style="8" bestFit="1" customWidth="1"/>
    <col min="25" max="25" width="17" style="8" bestFit="1" customWidth="1"/>
    <col min="26" max="26" width="16.08984375" style="8" bestFit="1" customWidth="1"/>
    <col min="27" max="27" width="16.1796875" style="8" bestFit="1" customWidth="1"/>
    <col min="28" max="29" width="14.81640625" style="8" bestFit="1" customWidth="1"/>
    <col min="30" max="30" width="16.08984375" style="8" bestFit="1" customWidth="1"/>
    <col min="31" max="31" width="16" style="8" bestFit="1" customWidth="1"/>
    <col min="32" max="32" width="16.1796875" style="8" bestFit="1" customWidth="1"/>
    <col min="33" max="33" width="14.1796875" style="8" customWidth="1"/>
    <col min="34" max="34" width="13.08984375" style="8" customWidth="1"/>
    <col min="35" max="37" width="8.7265625" style="8"/>
    <col min="38" max="38" width="9.453125" style="8" bestFit="1" customWidth="1"/>
    <col min="39" max="49" width="8.7265625" style="8"/>
    <col min="50" max="50" width="21.6328125" style="8" customWidth="1"/>
    <col min="51" max="16384" width="8.7265625" style="8"/>
  </cols>
  <sheetData>
    <row r="1" spans="1:67" x14ac:dyDescent="0.4">
      <c r="A1" s="6"/>
      <c r="B1" s="6"/>
      <c r="C1" s="6" t="s">
        <v>0</v>
      </c>
      <c r="D1" s="7">
        <v>45352</v>
      </c>
      <c r="E1" s="7">
        <v>45383</v>
      </c>
      <c r="F1" s="7">
        <v>45413</v>
      </c>
      <c r="G1" s="7">
        <v>45444</v>
      </c>
      <c r="H1" s="7">
        <v>45474</v>
      </c>
      <c r="I1" s="7">
        <v>45505</v>
      </c>
      <c r="J1" s="7">
        <v>45536</v>
      </c>
      <c r="K1" s="7">
        <v>45566</v>
      </c>
      <c r="L1" s="7">
        <v>45597</v>
      </c>
      <c r="M1" s="7">
        <v>45627</v>
      </c>
      <c r="N1" s="7">
        <v>45658</v>
      </c>
      <c r="O1" s="7">
        <v>45689</v>
      </c>
      <c r="P1" s="7">
        <v>45717</v>
      </c>
      <c r="Q1" s="7">
        <v>45748</v>
      </c>
      <c r="R1" s="7">
        <v>45778</v>
      </c>
      <c r="S1" s="7">
        <v>45809</v>
      </c>
      <c r="T1" s="7">
        <v>45839</v>
      </c>
      <c r="U1" s="7">
        <v>45870</v>
      </c>
      <c r="V1" s="7">
        <v>45901</v>
      </c>
      <c r="W1" s="7">
        <v>45931</v>
      </c>
      <c r="X1" s="7">
        <v>45962</v>
      </c>
      <c r="Y1" s="7">
        <v>45992</v>
      </c>
      <c r="Z1" s="7">
        <v>46023</v>
      </c>
      <c r="AA1" s="7">
        <v>46054</v>
      </c>
      <c r="AB1" s="7">
        <v>46082</v>
      </c>
      <c r="AC1" s="7">
        <v>46113</v>
      </c>
      <c r="AD1" s="7">
        <v>46143</v>
      </c>
      <c r="AE1" s="7">
        <v>46174</v>
      </c>
      <c r="AF1" s="7">
        <v>46204</v>
      </c>
      <c r="AG1" s="7">
        <v>46235</v>
      </c>
      <c r="AH1" s="7">
        <v>46266</v>
      </c>
    </row>
    <row r="2" spans="1:67" x14ac:dyDescent="0.4">
      <c r="A2" s="9" t="s">
        <v>1</v>
      </c>
      <c r="B2" s="9"/>
      <c r="C2" s="9" t="s">
        <v>2</v>
      </c>
      <c r="D2" s="9"/>
      <c r="E2" s="9">
        <v>20</v>
      </c>
      <c r="F2" s="9">
        <v>21</v>
      </c>
      <c r="G2" s="9">
        <v>19</v>
      </c>
      <c r="H2" s="9">
        <v>22</v>
      </c>
      <c r="I2" s="9">
        <v>21</v>
      </c>
      <c r="J2" s="9">
        <v>21</v>
      </c>
      <c r="K2" s="9">
        <v>21</v>
      </c>
      <c r="L2" s="9">
        <v>18</v>
      </c>
      <c r="M2" s="9">
        <v>21</v>
      </c>
      <c r="N2" s="9">
        <v>23</v>
      </c>
      <c r="O2" s="9">
        <v>19</v>
      </c>
      <c r="P2" s="9">
        <v>19</v>
      </c>
      <c r="Q2" s="10">
        <v>19</v>
      </c>
      <c r="R2" s="10">
        <v>21</v>
      </c>
      <c r="S2" s="10">
        <v>21</v>
      </c>
      <c r="T2" s="10">
        <v>23</v>
      </c>
      <c r="U2" s="10">
        <v>19</v>
      </c>
      <c r="V2" s="10">
        <v>22</v>
      </c>
      <c r="W2" s="10">
        <v>20</v>
      </c>
      <c r="X2" s="10">
        <v>19</v>
      </c>
      <c r="Y2" s="10">
        <v>22</v>
      </c>
      <c r="Z2" s="10">
        <v>20</v>
      </c>
      <c r="AA2" s="10">
        <v>21</v>
      </c>
      <c r="AB2" s="10">
        <v>19</v>
      </c>
      <c r="AC2" s="10">
        <v>21</v>
      </c>
      <c r="AD2" s="9">
        <v>19</v>
      </c>
      <c r="AE2" s="9">
        <v>21</v>
      </c>
      <c r="AF2" s="9">
        <v>23</v>
      </c>
      <c r="AG2" s="9">
        <v>21</v>
      </c>
      <c r="AH2" s="9">
        <v>21</v>
      </c>
    </row>
    <row r="3" spans="1:67" x14ac:dyDescent="0.4">
      <c r="A3" s="9" t="s">
        <v>17</v>
      </c>
      <c r="B3" s="9"/>
      <c r="C3" s="9" t="s">
        <v>3</v>
      </c>
      <c r="D3" s="9">
        <v>3.57</v>
      </c>
      <c r="E3" s="9">
        <v>3.58</v>
      </c>
      <c r="F3" s="9">
        <v>3.62</v>
      </c>
      <c r="G3" s="9">
        <v>3.66</v>
      </c>
      <c r="H3" s="9">
        <v>3.7</v>
      </c>
      <c r="I3" s="9">
        <v>3.76</v>
      </c>
      <c r="J3" s="9">
        <v>3.8</v>
      </c>
      <c r="K3" s="9">
        <v>3.84</v>
      </c>
      <c r="L3" s="9">
        <v>3.88</v>
      </c>
      <c r="M3" s="9">
        <v>3.9</v>
      </c>
      <c r="N3" s="9">
        <v>3.92</v>
      </c>
      <c r="O3" s="9">
        <v>3.93</v>
      </c>
      <c r="P3" s="9">
        <v>3.95</v>
      </c>
      <c r="Q3" s="9">
        <v>3.98</v>
      </c>
      <c r="R3" s="9">
        <v>4.0199999999999996</v>
      </c>
      <c r="S3" s="9">
        <v>4.05</v>
      </c>
      <c r="T3" s="9">
        <v>4.0999999999999996</v>
      </c>
      <c r="U3" s="9">
        <v>4.1500000000000004</v>
      </c>
      <c r="V3" s="9">
        <v>4.2</v>
      </c>
      <c r="W3" s="9">
        <v>4.2</v>
      </c>
      <c r="X3" s="9">
        <v>4.25</v>
      </c>
      <c r="Y3" s="9">
        <v>4.3</v>
      </c>
      <c r="Z3" s="9">
        <v>4.3600000000000003</v>
      </c>
      <c r="AA3" s="9">
        <v>4.4000000000000004</v>
      </c>
      <c r="AB3" s="9">
        <v>4.43</v>
      </c>
      <c r="AC3" s="9">
        <v>4.47</v>
      </c>
      <c r="AD3" s="9">
        <v>4.51</v>
      </c>
      <c r="AE3" s="9">
        <v>4.5999999999999996</v>
      </c>
      <c r="AF3" s="9">
        <v>4.5999999999999996</v>
      </c>
      <c r="AG3" s="9">
        <v>4.7</v>
      </c>
      <c r="AH3" s="9"/>
    </row>
    <row r="4" spans="1:67" x14ac:dyDescent="0.4">
      <c r="A4" s="9" t="s">
        <v>18</v>
      </c>
      <c r="B4" s="9"/>
      <c r="C4" s="9" t="s">
        <v>3</v>
      </c>
      <c r="D4" s="9">
        <v>11.1</v>
      </c>
      <c r="E4" s="9">
        <v>11.4</v>
      </c>
      <c r="F4" s="9">
        <v>11.7</v>
      </c>
      <c r="G4" s="9">
        <v>12</v>
      </c>
      <c r="H4" s="9">
        <v>12.9</v>
      </c>
      <c r="I4" s="9">
        <v>13.34</v>
      </c>
      <c r="J4" s="9">
        <v>13.7</v>
      </c>
      <c r="K4" s="9">
        <v>14</v>
      </c>
      <c r="L4" s="9">
        <v>14.3</v>
      </c>
      <c r="M4" s="9">
        <v>14.6</v>
      </c>
      <c r="N4" s="9">
        <v>15</v>
      </c>
      <c r="O4" s="9">
        <v>15.13</v>
      </c>
      <c r="P4" s="9">
        <v>15.3</v>
      </c>
      <c r="Q4" s="9">
        <v>15.4</v>
      </c>
      <c r="R4" s="9">
        <v>15.6</v>
      </c>
      <c r="S4" s="9">
        <v>15.8</v>
      </c>
      <c r="T4" s="9">
        <v>16.100000000000001</v>
      </c>
      <c r="U4" s="9">
        <v>16.3</v>
      </c>
      <c r="V4" s="9">
        <v>16.5</v>
      </c>
      <c r="W4" s="9">
        <v>16.8</v>
      </c>
      <c r="X4" s="9">
        <v>17</v>
      </c>
      <c r="Y4" s="9">
        <v>17.3</v>
      </c>
      <c r="Z4" s="9">
        <v>17.600000000000001</v>
      </c>
      <c r="AA4" s="9">
        <v>17.850000000000001</v>
      </c>
      <c r="AB4" s="9">
        <v>18.02</v>
      </c>
      <c r="AC4" s="9">
        <v>18.2</v>
      </c>
      <c r="AD4" s="9">
        <v>18.399999999999999</v>
      </c>
      <c r="AE4" s="9">
        <v>18.600000000000001</v>
      </c>
      <c r="AF4" s="9">
        <v>18.8</v>
      </c>
      <c r="AG4" s="9">
        <v>19.100000000000001</v>
      </c>
      <c r="AH4" s="9"/>
    </row>
    <row r="5" spans="1:67" x14ac:dyDescent="0.4">
      <c r="A5" s="9" t="s">
        <v>46</v>
      </c>
      <c r="B5" s="9"/>
      <c r="C5" s="9"/>
      <c r="D5" s="9">
        <f>D3+D4</f>
        <v>14.67</v>
      </c>
      <c r="E5" s="9">
        <f>E3+E4</f>
        <v>14.98</v>
      </c>
      <c r="F5" s="9">
        <f t="shared" ref="F5:AE5" si="0">F3+F4</f>
        <v>15.32</v>
      </c>
      <c r="G5" s="9">
        <f t="shared" si="0"/>
        <v>15.66</v>
      </c>
      <c r="H5" s="9">
        <f t="shared" si="0"/>
        <v>16.600000000000001</v>
      </c>
      <c r="I5" s="9">
        <f t="shared" si="0"/>
        <v>17.100000000000001</v>
      </c>
      <c r="J5" s="9">
        <f t="shared" si="0"/>
        <v>17.5</v>
      </c>
      <c r="K5" s="9">
        <f t="shared" si="0"/>
        <v>17.84</v>
      </c>
      <c r="L5" s="9">
        <f t="shared" si="0"/>
        <v>18.18</v>
      </c>
      <c r="M5" s="9">
        <f t="shared" si="0"/>
        <v>18.5</v>
      </c>
      <c r="N5" s="9">
        <f t="shared" si="0"/>
        <v>18.920000000000002</v>
      </c>
      <c r="O5" s="9">
        <f t="shared" si="0"/>
        <v>19.060000000000002</v>
      </c>
      <c r="P5" s="9">
        <f t="shared" si="0"/>
        <v>19.25</v>
      </c>
      <c r="Q5" s="9">
        <f t="shared" si="0"/>
        <v>19.38</v>
      </c>
      <c r="R5" s="9">
        <f t="shared" si="0"/>
        <v>19.619999999999997</v>
      </c>
      <c r="S5" s="9">
        <f t="shared" si="0"/>
        <v>19.850000000000001</v>
      </c>
      <c r="T5" s="9">
        <f t="shared" si="0"/>
        <v>20.200000000000003</v>
      </c>
      <c r="U5" s="9">
        <f t="shared" si="0"/>
        <v>20.450000000000003</v>
      </c>
      <c r="V5" s="9">
        <f t="shared" si="0"/>
        <v>20.7</v>
      </c>
      <c r="W5" s="11">
        <f t="shared" si="0"/>
        <v>21</v>
      </c>
      <c r="X5" s="9">
        <f t="shared" si="0"/>
        <v>21.25</v>
      </c>
      <c r="Y5" s="9">
        <f t="shared" si="0"/>
        <v>21.6</v>
      </c>
      <c r="Z5" s="9">
        <f t="shared" si="0"/>
        <v>21.96</v>
      </c>
      <c r="AA5" s="9">
        <f t="shared" si="0"/>
        <v>22.25</v>
      </c>
      <c r="AB5" s="9">
        <f t="shared" si="0"/>
        <v>22.45</v>
      </c>
      <c r="AC5" s="9">
        <f t="shared" si="0"/>
        <v>22.669999999999998</v>
      </c>
      <c r="AD5" s="9">
        <f>AD3+AD4</f>
        <v>22.909999999999997</v>
      </c>
      <c r="AE5" s="9">
        <f t="shared" si="0"/>
        <v>23.200000000000003</v>
      </c>
      <c r="AF5" s="9">
        <f>AF3+AF4</f>
        <v>23.4</v>
      </c>
      <c r="AG5" s="9">
        <f>AG3+AG4</f>
        <v>23.8</v>
      </c>
      <c r="AH5" s="9"/>
    </row>
    <row r="6" spans="1:67" x14ac:dyDescent="0.4">
      <c r="A6" s="9" t="s">
        <v>4</v>
      </c>
      <c r="B6" s="9"/>
      <c r="C6" s="9" t="s">
        <v>5</v>
      </c>
      <c r="D6" s="12"/>
      <c r="E6" s="11">
        <f t="shared" ref="E6:AB6" si="1">E5-D5</f>
        <v>0.3100000000000005</v>
      </c>
      <c r="F6" s="11">
        <f t="shared" si="1"/>
        <v>0.33999999999999986</v>
      </c>
      <c r="G6" s="11">
        <f t="shared" si="1"/>
        <v>0.33999999999999986</v>
      </c>
      <c r="H6" s="11">
        <f t="shared" si="1"/>
        <v>0.94000000000000128</v>
      </c>
      <c r="I6" s="11">
        <f t="shared" si="1"/>
        <v>0.5</v>
      </c>
      <c r="J6" s="11">
        <f t="shared" si="1"/>
        <v>0.39999999999999858</v>
      </c>
      <c r="K6" s="11">
        <f t="shared" si="1"/>
        <v>0.33999999999999986</v>
      </c>
      <c r="L6" s="11">
        <f t="shared" si="1"/>
        <v>0.33999999999999986</v>
      </c>
      <c r="M6" s="11">
        <f t="shared" si="1"/>
        <v>0.32000000000000028</v>
      </c>
      <c r="N6" s="11">
        <f t="shared" si="1"/>
        <v>0.42000000000000171</v>
      </c>
      <c r="O6" s="11">
        <f t="shared" si="1"/>
        <v>0.14000000000000057</v>
      </c>
      <c r="P6" s="11">
        <f t="shared" si="1"/>
        <v>0.18999999999999773</v>
      </c>
      <c r="Q6" s="11">
        <f t="shared" si="1"/>
        <v>0.12999999999999901</v>
      </c>
      <c r="R6" s="11">
        <f t="shared" si="1"/>
        <v>0.23999999999999844</v>
      </c>
      <c r="S6" s="11">
        <f t="shared" si="1"/>
        <v>0.23000000000000398</v>
      </c>
      <c r="T6" s="11">
        <f t="shared" si="1"/>
        <v>0.35000000000000142</v>
      </c>
      <c r="U6" s="11">
        <f t="shared" si="1"/>
        <v>0.25</v>
      </c>
      <c r="V6" s="11">
        <f t="shared" si="1"/>
        <v>0.24999999999999645</v>
      </c>
      <c r="W6" s="11">
        <f t="shared" si="1"/>
        <v>0.30000000000000071</v>
      </c>
      <c r="X6" s="11">
        <f t="shared" si="1"/>
        <v>0.25</v>
      </c>
      <c r="Y6" s="11">
        <f t="shared" si="1"/>
        <v>0.35000000000000142</v>
      </c>
      <c r="Z6" s="11">
        <f t="shared" si="1"/>
        <v>0.35999999999999943</v>
      </c>
      <c r="AA6" s="11">
        <f t="shared" si="1"/>
        <v>0.28999999999999915</v>
      </c>
      <c r="AB6" s="11">
        <f t="shared" si="1"/>
        <v>0.19999999999999929</v>
      </c>
      <c r="AC6" s="11">
        <f>AC5-AB5</f>
        <v>0.21999999999999886</v>
      </c>
      <c r="AD6" s="11">
        <f t="shared" ref="AD6:AF6" si="2">AD5-AC5</f>
        <v>0.23999999999999844</v>
      </c>
      <c r="AE6" s="11">
        <f t="shared" si="2"/>
        <v>0.29000000000000625</v>
      </c>
      <c r="AF6" s="11">
        <f t="shared" si="2"/>
        <v>0.19999999999999574</v>
      </c>
      <c r="AG6" s="11">
        <f>AG5-AF5</f>
        <v>0.40000000000000213</v>
      </c>
      <c r="AH6" s="11"/>
    </row>
    <row r="7" spans="1:67" ht="45" x14ac:dyDescent="0.4">
      <c r="A7" s="9" t="s">
        <v>47</v>
      </c>
      <c r="B7" s="9"/>
      <c r="C7" s="13" t="s">
        <v>45</v>
      </c>
      <c r="D7" s="14" t="s">
        <v>24</v>
      </c>
      <c r="E7" s="11">
        <v>4.18</v>
      </c>
      <c r="F7" s="11">
        <v>4.29</v>
      </c>
      <c r="G7" s="11">
        <v>4.42</v>
      </c>
      <c r="H7" s="11">
        <v>4.57</v>
      </c>
      <c r="I7" s="11">
        <v>4.68</v>
      </c>
      <c r="J7" s="11">
        <v>4.79</v>
      </c>
      <c r="K7" s="11">
        <v>4.8899999999999997</v>
      </c>
      <c r="L7" s="11">
        <v>4.96</v>
      </c>
      <c r="M7" s="11">
        <v>5.0199999999999996</v>
      </c>
      <c r="N7" s="11">
        <v>5.0199999999999996</v>
      </c>
      <c r="O7" s="11">
        <v>4.9000000000000004</v>
      </c>
      <c r="P7" s="11">
        <v>4.92</v>
      </c>
      <c r="Q7" s="11">
        <v>4.8899999999999997</v>
      </c>
      <c r="R7" s="11">
        <v>4.8600000000000003</v>
      </c>
      <c r="S7" s="11">
        <v>4.79</v>
      </c>
      <c r="T7" s="11">
        <v>4.5999999999999996</v>
      </c>
      <c r="U7" s="11">
        <v>4.62</v>
      </c>
      <c r="V7" s="11">
        <v>4.54</v>
      </c>
      <c r="W7" s="11">
        <v>4.5199999999999996</v>
      </c>
      <c r="X7" s="11">
        <v>4.5</v>
      </c>
      <c r="Y7" s="11">
        <v>4.4800000000000004</v>
      </c>
      <c r="Z7" s="11">
        <v>4.51</v>
      </c>
      <c r="AA7" s="11">
        <v>4.55</v>
      </c>
      <c r="AB7" s="11">
        <v>4.57</v>
      </c>
      <c r="AC7" s="11">
        <v>4.58</v>
      </c>
      <c r="AD7" s="9">
        <v>4.5599999999999996</v>
      </c>
      <c r="AE7" s="9">
        <v>4.63</v>
      </c>
      <c r="AF7" s="9">
        <v>4.55</v>
      </c>
      <c r="AG7" s="9">
        <v>4.59</v>
      </c>
      <c r="AH7" s="9"/>
    </row>
    <row r="8" spans="1:67" x14ac:dyDescent="0.4">
      <c r="A8" s="9" t="s">
        <v>19</v>
      </c>
      <c r="B8" s="9"/>
      <c r="C8" s="9" t="s">
        <v>6</v>
      </c>
      <c r="D8" s="9"/>
      <c r="E8" s="15">
        <v>9.1999999999999993</v>
      </c>
      <c r="F8" s="15">
        <v>9.5</v>
      </c>
      <c r="G8" s="15">
        <v>9.6999999999999993</v>
      </c>
      <c r="H8" s="15">
        <v>10</v>
      </c>
      <c r="I8" s="15">
        <v>10.14</v>
      </c>
      <c r="J8" s="15">
        <v>10.3</v>
      </c>
      <c r="K8" s="15">
        <v>10.5</v>
      </c>
      <c r="L8" s="15">
        <v>10.7</v>
      </c>
      <c r="M8" s="15">
        <v>10.9</v>
      </c>
      <c r="N8" s="15">
        <v>11.1</v>
      </c>
      <c r="O8" s="15">
        <v>11.2</v>
      </c>
      <c r="P8" s="15">
        <v>11.3</v>
      </c>
      <c r="Q8" s="15">
        <v>11.4</v>
      </c>
      <c r="R8" s="15">
        <v>11.5</v>
      </c>
      <c r="S8" s="15">
        <v>11.6</v>
      </c>
      <c r="T8" s="15">
        <v>11.8</v>
      </c>
      <c r="U8" s="15">
        <v>11.9</v>
      </c>
      <c r="V8" s="15">
        <v>12</v>
      </c>
      <c r="W8" s="15">
        <v>12.2</v>
      </c>
      <c r="X8" s="15">
        <v>12.3</v>
      </c>
      <c r="Y8" s="15">
        <v>12.5</v>
      </c>
      <c r="Z8" s="15">
        <v>12.7</v>
      </c>
      <c r="AA8" s="15">
        <v>12.8</v>
      </c>
      <c r="AB8" s="15">
        <v>12.9</v>
      </c>
      <c r="AC8" s="9">
        <v>13</v>
      </c>
      <c r="AD8" s="9">
        <v>13.1</v>
      </c>
      <c r="AE8" s="9">
        <v>13.2</v>
      </c>
      <c r="AF8" s="9">
        <v>13.1</v>
      </c>
      <c r="AG8" s="9"/>
      <c r="AH8" s="9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</row>
    <row r="9" spans="1:67" x14ac:dyDescent="0.4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7"/>
      <c r="S9" s="9"/>
      <c r="T9" s="9"/>
      <c r="U9" s="9"/>
      <c r="V9" s="9"/>
      <c r="W9" s="9"/>
      <c r="X9" s="9"/>
      <c r="Y9" s="9"/>
      <c r="Z9" s="9"/>
      <c r="AA9" s="9"/>
      <c r="AB9" s="18"/>
      <c r="AC9" s="9"/>
      <c r="AD9" s="9"/>
      <c r="AE9" s="9"/>
      <c r="AF9" s="9"/>
      <c r="AG9" s="9"/>
      <c r="AH9" s="9"/>
    </row>
    <row r="10" spans="1:67" ht="23" x14ac:dyDescent="0.4">
      <c r="A10" s="43" t="s">
        <v>233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7"/>
      <c r="S10" s="9"/>
      <c r="T10" s="9"/>
      <c r="U10" s="9"/>
      <c r="V10" s="9"/>
      <c r="W10" s="9"/>
      <c r="X10" s="9"/>
      <c r="Y10" s="9"/>
      <c r="Z10" s="9"/>
      <c r="AA10" s="9"/>
      <c r="AB10" s="18"/>
      <c r="AC10" s="9"/>
      <c r="AD10" s="9"/>
      <c r="AE10" s="9"/>
      <c r="AF10" s="9"/>
      <c r="AG10" s="9"/>
      <c r="AH10" s="9"/>
    </row>
    <row r="11" spans="1:67" x14ac:dyDescent="0.4">
      <c r="A11" s="9" t="s">
        <v>7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9">
        <v>-418.36</v>
      </c>
      <c r="S11" s="19">
        <v>7488.98</v>
      </c>
      <c r="T11" s="19">
        <v>-47666.68</v>
      </c>
      <c r="U11" s="19">
        <v>-46902.92</v>
      </c>
      <c r="V11" s="19">
        <v>-35301.360000000001</v>
      </c>
      <c r="W11" s="19">
        <v>-2346.89</v>
      </c>
      <c r="X11" s="19">
        <v>-17500.310000000001</v>
      </c>
      <c r="Y11" s="19">
        <v>-34349.620000000003</v>
      </c>
      <c r="Z11" s="19">
        <v>-41435.22</v>
      </c>
      <c r="AA11" s="19">
        <v>-16601.68</v>
      </c>
      <c r="AB11" s="19">
        <v>-122540.41</v>
      </c>
      <c r="AC11" s="19">
        <v>-70135.460000000006</v>
      </c>
      <c r="AD11" s="34">
        <v>-55963.33</v>
      </c>
      <c r="AE11" s="34">
        <v>-49028.63</v>
      </c>
      <c r="AF11" s="34">
        <v>-5778.99</v>
      </c>
      <c r="AG11" s="34">
        <v>-7531.84</v>
      </c>
      <c r="AH11" s="34"/>
    </row>
    <row r="12" spans="1:67" x14ac:dyDescent="0.4">
      <c r="A12" s="9" t="s">
        <v>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9">
        <v>33144.78</v>
      </c>
      <c r="S12" s="19">
        <v>72673.91</v>
      </c>
      <c r="T12" s="19">
        <v>60939.16</v>
      </c>
      <c r="U12" s="19">
        <v>94828.55</v>
      </c>
      <c r="V12" s="19">
        <v>65343.59</v>
      </c>
      <c r="W12" s="19">
        <v>52794.02</v>
      </c>
      <c r="X12" s="19">
        <v>77083.78</v>
      </c>
      <c r="Y12" s="19">
        <v>79619.91</v>
      </c>
      <c r="Z12" s="19">
        <v>69220.740000000005</v>
      </c>
      <c r="AA12" s="19">
        <v>45381.98</v>
      </c>
      <c r="AB12" s="19">
        <v>142960.37</v>
      </c>
      <c r="AC12" s="19">
        <v>51063.87</v>
      </c>
      <c r="AD12" s="34">
        <v>82668.929999999993</v>
      </c>
      <c r="AE12" s="34">
        <v>85800.14</v>
      </c>
      <c r="AF12" s="34">
        <v>35099.25</v>
      </c>
      <c r="AG12" s="34">
        <v>58268.15</v>
      </c>
      <c r="AH12" s="34"/>
    </row>
    <row r="13" spans="1:67" x14ac:dyDescent="0.4">
      <c r="A13" s="9" t="s">
        <v>44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9">
        <v>-14543</v>
      </c>
      <c r="S13" s="19">
        <v>-1253.75</v>
      </c>
      <c r="T13" s="19">
        <v>-43048.73</v>
      </c>
      <c r="U13" s="19">
        <v>-8492.77</v>
      </c>
      <c r="V13" s="19">
        <v>-2542.15</v>
      </c>
      <c r="W13" s="19">
        <v>9265.5300000000007</v>
      </c>
      <c r="X13" s="19">
        <v>-8843.48</v>
      </c>
      <c r="Y13" s="19">
        <v>6182.18</v>
      </c>
      <c r="Z13" s="19">
        <v>-30802.53</v>
      </c>
      <c r="AA13" s="19">
        <v>2488.2399999999998</v>
      </c>
      <c r="AB13" s="19">
        <v>-42211.23</v>
      </c>
      <c r="AC13" s="19">
        <v>3876.85</v>
      </c>
      <c r="AD13" s="33">
        <v>-15559.03</v>
      </c>
      <c r="AE13" s="33">
        <v>-11896.57</v>
      </c>
      <c r="AF13" s="33">
        <v>668.11</v>
      </c>
      <c r="AG13" s="33">
        <v>-12900.29</v>
      </c>
      <c r="AH13" s="33"/>
    </row>
    <row r="14" spans="1:67" x14ac:dyDescent="0.4">
      <c r="A14" s="9" t="s">
        <v>43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9">
        <v>-10349.299999999999</v>
      </c>
      <c r="S14" s="19">
        <v>32161.48</v>
      </c>
      <c r="T14" s="19">
        <v>49530.93</v>
      </c>
      <c r="U14" s="19">
        <v>-16367.38</v>
      </c>
      <c r="V14" s="19">
        <v>105406.25</v>
      </c>
      <c r="W14" s="19">
        <v>138859.31</v>
      </c>
      <c r="X14" s="19">
        <v>92320.47</v>
      </c>
      <c r="Y14" s="19">
        <v>64894.62</v>
      </c>
      <c r="Z14" s="19">
        <v>-5538.19</v>
      </c>
      <c r="AA14" s="19">
        <v>-50400.14</v>
      </c>
      <c r="AB14" s="19">
        <v>-134333.26</v>
      </c>
      <c r="AC14" s="19">
        <v>-91189.96</v>
      </c>
      <c r="AD14" s="33">
        <v>-99574</v>
      </c>
      <c r="AE14" s="33">
        <v>-24021</v>
      </c>
      <c r="AF14" s="33">
        <v>-216446.82</v>
      </c>
      <c r="AG14" s="33">
        <v>-26904</v>
      </c>
      <c r="AH14" s="33"/>
      <c r="AL14" s="20"/>
    </row>
    <row r="15" spans="1:67" x14ac:dyDescent="0.4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L15" s="20"/>
    </row>
    <row r="16" spans="1:67" x14ac:dyDescent="0.4">
      <c r="A16" s="9" t="s">
        <v>27</v>
      </c>
      <c r="B16" s="9" t="s">
        <v>9</v>
      </c>
      <c r="C16" s="9" t="s">
        <v>6</v>
      </c>
      <c r="D16" s="9">
        <v>124.9</v>
      </c>
      <c r="E16" s="9"/>
      <c r="F16" s="9"/>
      <c r="G16" s="9">
        <v>140</v>
      </c>
      <c r="H16" s="9"/>
      <c r="I16" s="9"/>
      <c r="J16" s="9">
        <v>153.6</v>
      </c>
      <c r="K16" s="9"/>
      <c r="L16" s="9"/>
      <c r="M16" s="9">
        <v>142.69999999999999</v>
      </c>
      <c r="N16" s="9"/>
      <c r="O16" s="9"/>
      <c r="P16" s="9">
        <v>132.80000000000001</v>
      </c>
      <c r="Q16" s="9"/>
      <c r="R16" s="9"/>
      <c r="S16" s="9">
        <v>147.30000000000001</v>
      </c>
      <c r="T16" s="9"/>
      <c r="U16" s="9"/>
      <c r="V16" s="9">
        <v>143.6</v>
      </c>
      <c r="W16" s="9"/>
      <c r="X16" s="9"/>
      <c r="Y16" s="9">
        <v>151.69999999999999</v>
      </c>
      <c r="Z16" s="9"/>
      <c r="AA16" s="9"/>
      <c r="AB16" s="9">
        <v>130</v>
      </c>
      <c r="AC16" s="9"/>
      <c r="AD16" s="9"/>
      <c r="AE16" s="9">
        <v>150.5</v>
      </c>
      <c r="AF16" s="9"/>
      <c r="AG16" s="9"/>
      <c r="AH16" s="9"/>
      <c r="AL16" s="20"/>
    </row>
    <row r="17" spans="1:55" x14ac:dyDescent="0.4">
      <c r="A17" s="9" t="s">
        <v>39</v>
      </c>
      <c r="B17" s="9" t="s">
        <v>9</v>
      </c>
      <c r="C17" s="9" t="s">
        <v>6</v>
      </c>
      <c r="D17" s="9">
        <v>42.7</v>
      </c>
      <c r="E17" s="9"/>
      <c r="F17" s="9"/>
      <c r="G17" s="9">
        <v>49.5</v>
      </c>
      <c r="H17" s="9"/>
      <c r="I17" s="9"/>
      <c r="J17" s="9">
        <v>49.1</v>
      </c>
      <c r="K17" s="9"/>
      <c r="L17" s="9"/>
      <c r="M17" s="9">
        <v>43.5</v>
      </c>
      <c r="N17" s="9"/>
      <c r="O17" s="9"/>
      <c r="P17" s="9">
        <v>40.700000000000003</v>
      </c>
      <c r="Q17" s="9"/>
      <c r="R17" s="9"/>
      <c r="S17" s="9">
        <v>46.3</v>
      </c>
      <c r="T17" s="9"/>
      <c r="U17" s="9"/>
      <c r="V17" s="9">
        <v>44.7</v>
      </c>
      <c r="W17" s="9"/>
      <c r="X17" s="9"/>
      <c r="Y17" s="9">
        <v>46.3</v>
      </c>
      <c r="Z17" s="9"/>
      <c r="AA17" s="9"/>
      <c r="AB17" s="9">
        <v>42</v>
      </c>
      <c r="AC17" s="9"/>
      <c r="AD17" s="9"/>
      <c r="AE17" s="9">
        <v>45.7</v>
      </c>
      <c r="AF17" s="9"/>
      <c r="AG17" s="9"/>
      <c r="AH17" s="9"/>
      <c r="AL17" s="20"/>
    </row>
    <row r="18" spans="1:55" x14ac:dyDescent="0.4">
      <c r="A18" s="9" t="s">
        <v>28</v>
      </c>
      <c r="B18" s="9" t="s">
        <v>9</v>
      </c>
      <c r="C18" s="9" t="s">
        <v>6</v>
      </c>
      <c r="D18" s="9">
        <v>30.6</v>
      </c>
      <c r="E18" s="9"/>
      <c r="F18" s="9"/>
      <c r="G18" s="9">
        <v>35.9</v>
      </c>
      <c r="H18" s="9"/>
      <c r="I18" s="9"/>
      <c r="J18" s="9">
        <v>38.799999999999997</v>
      </c>
      <c r="K18" s="9"/>
      <c r="L18" s="9"/>
      <c r="M18" s="9">
        <v>35.700000000000003</v>
      </c>
      <c r="N18" s="9"/>
      <c r="O18" s="9"/>
      <c r="P18" s="9">
        <v>33.200000000000003</v>
      </c>
      <c r="Q18" s="9"/>
      <c r="R18" s="9"/>
      <c r="S18" s="9">
        <v>37.1</v>
      </c>
      <c r="T18" s="9"/>
      <c r="U18" s="9"/>
      <c r="V18" s="9">
        <v>37.299999999999997</v>
      </c>
      <c r="W18" s="9"/>
      <c r="X18" s="9"/>
      <c r="Y18" s="9">
        <v>39.200000000000003</v>
      </c>
      <c r="Z18" s="9"/>
      <c r="AA18" s="9"/>
      <c r="AB18" s="9">
        <v>34.5</v>
      </c>
      <c r="AC18" s="9"/>
      <c r="AD18" s="9"/>
      <c r="AE18" s="9">
        <v>41.7</v>
      </c>
      <c r="AF18" s="9"/>
      <c r="AG18" s="9"/>
      <c r="AH18" s="9"/>
      <c r="AL18" s="20"/>
    </row>
    <row r="19" spans="1:55" x14ac:dyDescent="0.4">
      <c r="A19" s="9" t="s">
        <v>29</v>
      </c>
      <c r="B19" s="9" t="s">
        <v>9</v>
      </c>
      <c r="C19" s="9" t="s">
        <v>6</v>
      </c>
      <c r="D19" s="9">
        <v>6.3</v>
      </c>
      <c r="E19" s="9"/>
      <c r="F19" s="9"/>
      <c r="G19" s="9">
        <v>7.3</v>
      </c>
      <c r="H19" s="9"/>
      <c r="I19" s="9"/>
      <c r="J19" s="9">
        <v>8.1999999999999993</v>
      </c>
      <c r="K19" s="9"/>
      <c r="L19" s="9"/>
      <c r="M19" s="9">
        <v>7.8</v>
      </c>
      <c r="N19" s="9"/>
      <c r="O19" s="9"/>
      <c r="P19" s="9">
        <v>7.9</v>
      </c>
      <c r="Q19" s="9"/>
      <c r="R19" s="9"/>
      <c r="S19" s="9">
        <v>8.9</v>
      </c>
      <c r="T19" s="9"/>
      <c r="U19" s="9"/>
      <c r="V19" s="9">
        <v>8.8000000000000007</v>
      </c>
      <c r="W19" s="9"/>
      <c r="X19" s="9"/>
      <c r="Y19" s="9">
        <v>8.6999999999999993</v>
      </c>
      <c r="Z19" s="9"/>
      <c r="AA19" s="9"/>
      <c r="AB19" s="9">
        <v>9.8000000000000007</v>
      </c>
      <c r="AC19" s="9"/>
      <c r="AD19" s="9"/>
      <c r="AE19" s="9">
        <v>9.8000000000000007</v>
      </c>
      <c r="AF19" s="9"/>
      <c r="AG19" s="9"/>
      <c r="AH19" s="9"/>
      <c r="AL19" s="20"/>
      <c r="AX19" s="21"/>
      <c r="AY19" s="21"/>
      <c r="BB19" s="21"/>
      <c r="BC19" s="21"/>
    </row>
    <row r="20" spans="1:55" x14ac:dyDescent="0.4">
      <c r="A20" s="9" t="s">
        <v>30</v>
      </c>
      <c r="B20" s="9" t="s">
        <v>9</v>
      </c>
      <c r="C20" s="9" t="s">
        <v>6</v>
      </c>
      <c r="D20" s="9">
        <v>27.9</v>
      </c>
      <c r="E20" s="9"/>
      <c r="F20" s="9"/>
      <c r="G20" s="9">
        <v>32.5</v>
      </c>
      <c r="H20" s="9"/>
      <c r="I20" s="9"/>
      <c r="J20" s="9">
        <v>36.200000000000003</v>
      </c>
      <c r="K20" s="9"/>
      <c r="L20" s="9"/>
      <c r="M20" s="9">
        <v>35.700000000000003</v>
      </c>
      <c r="N20" s="9"/>
      <c r="O20" s="9"/>
      <c r="P20" s="9">
        <v>34.5</v>
      </c>
      <c r="Q20" s="9"/>
      <c r="R20" s="9"/>
      <c r="S20" s="9">
        <v>39.5</v>
      </c>
      <c r="T20" s="9"/>
      <c r="U20" s="9"/>
      <c r="V20" s="9">
        <v>40</v>
      </c>
      <c r="W20" s="9"/>
      <c r="X20" s="9"/>
      <c r="Y20" s="9">
        <v>43.5</v>
      </c>
      <c r="Z20" s="9"/>
      <c r="AA20" s="9"/>
      <c r="AB20" s="9">
        <v>36.9</v>
      </c>
      <c r="AC20" s="9"/>
      <c r="AD20" s="9"/>
      <c r="AE20" s="9">
        <v>44.6</v>
      </c>
      <c r="AF20" s="9"/>
      <c r="AG20" s="9"/>
      <c r="AH20" s="9"/>
      <c r="AL20" s="20"/>
      <c r="AX20" s="22"/>
      <c r="AY20" s="23"/>
      <c r="BB20" s="22"/>
      <c r="BC20" s="23"/>
    </row>
    <row r="21" spans="1:55" x14ac:dyDescent="0.4">
      <c r="A21" s="9" t="s">
        <v>31</v>
      </c>
      <c r="B21" s="9" t="s">
        <v>9</v>
      </c>
      <c r="C21" s="9" t="s">
        <v>6</v>
      </c>
      <c r="D21" s="9">
        <v>21.3</v>
      </c>
      <c r="E21" s="9"/>
      <c r="F21" s="9"/>
      <c r="G21" s="9">
        <v>23.3</v>
      </c>
      <c r="H21" s="9"/>
      <c r="I21" s="9"/>
      <c r="J21" s="9">
        <v>25.2</v>
      </c>
      <c r="K21" s="9"/>
      <c r="L21" s="9"/>
      <c r="M21" s="9">
        <v>23.3</v>
      </c>
      <c r="N21" s="9"/>
      <c r="O21" s="9"/>
      <c r="P21" s="9">
        <v>22.8</v>
      </c>
      <c r="Q21" s="9"/>
      <c r="R21" s="9"/>
      <c r="S21" s="9">
        <v>25</v>
      </c>
      <c r="T21" s="9"/>
      <c r="U21" s="9"/>
      <c r="V21" s="9">
        <v>24.2</v>
      </c>
      <c r="W21" s="9"/>
      <c r="X21" s="9"/>
      <c r="Y21" s="9">
        <v>25.9</v>
      </c>
      <c r="Z21" s="9"/>
      <c r="AA21" s="9"/>
      <c r="AB21" s="9">
        <v>22.7</v>
      </c>
      <c r="AC21" s="9"/>
      <c r="AD21" s="9"/>
      <c r="AE21" s="9">
        <v>25</v>
      </c>
      <c r="AF21" s="9"/>
      <c r="AG21" s="9"/>
      <c r="AH21" s="9"/>
      <c r="AL21" s="20"/>
      <c r="AX21" s="22"/>
      <c r="AY21" s="23"/>
      <c r="BB21" s="22"/>
      <c r="BC21" s="23"/>
    </row>
    <row r="22" spans="1:55" x14ac:dyDescent="0.4">
      <c r="A22" s="9" t="s">
        <v>32</v>
      </c>
      <c r="B22" s="9" t="s">
        <v>9</v>
      </c>
      <c r="C22" s="9" t="s">
        <v>6</v>
      </c>
      <c r="D22" s="9">
        <v>68.3</v>
      </c>
      <c r="E22" s="9"/>
      <c r="F22" s="9"/>
      <c r="G22" s="9">
        <v>76</v>
      </c>
      <c r="H22" s="9"/>
      <c r="I22" s="9"/>
      <c r="J22" s="9">
        <v>82.7</v>
      </c>
      <c r="K22" s="9"/>
      <c r="L22" s="9"/>
      <c r="M22" s="9">
        <v>75.8</v>
      </c>
      <c r="N22" s="9"/>
      <c r="O22" s="9"/>
      <c r="P22" s="9">
        <v>71.5</v>
      </c>
      <c r="Q22" s="9"/>
      <c r="R22" s="9"/>
      <c r="S22" s="9">
        <v>79.2</v>
      </c>
      <c r="T22" s="9"/>
      <c r="U22" s="9"/>
      <c r="V22" s="9">
        <v>75.2</v>
      </c>
      <c r="W22" s="9"/>
      <c r="X22" s="9"/>
      <c r="Y22" s="9">
        <v>78.7</v>
      </c>
      <c r="Z22" s="9"/>
      <c r="AA22" s="9"/>
      <c r="AB22" s="9">
        <v>64.599999999999994</v>
      </c>
      <c r="AC22" s="9"/>
      <c r="AD22" s="9"/>
      <c r="AE22" s="9">
        <v>70.7</v>
      </c>
      <c r="AF22" s="9"/>
      <c r="AG22" s="9"/>
      <c r="AH22" s="9"/>
      <c r="AL22" s="20"/>
      <c r="AX22" s="22"/>
      <c r="AY22" s="23"/>
      <c r="BB22" s="22"/>
      <c r="BC22" s="23"/>
    </row>
    <row r="23" spans="1:55" x14ac:dyDescent="0.4">
      <c r="A23" s="9" t="s">
        <v>33</v>
      </c>
      <c r="B23" s="9" t="s">
        <v>9</v>
      </c>
      <c r="C23" s="9" t="s">
        <v>6</v>
      </c>
      <c r="D23" s="9">
        <v>7.4</v>
      </c>
      <c r="E23" s="9"/>
      <c r="F23" s="9"/>
      <c r="G23" s="9">
        <v>8.3000000000000007</v>
      </c>
      <c r="H23" s="9"/>
      <c r="I23" s="9"/>
      <c r="J23" s="9">
        <v>9.1999999999999993</v>
      </c>
      <c r="K23" s="9"/>
      <c r="L23" s="9"/>
      <c r="M23" s="9">
        <v>8.6</v>
      </c>
      <c r="N23" s="9"/>
      <c r="O23" s="9"/>
      <c r="P23" s="9">
        <v>7.6</v>
      </c>
      <c r="Q23" s="9"/>
      <c r="R23" s="9"/>
      <c r="S23" s="9">
        <v>8.6</v>
      </c>
      <c r="T23" s="9"/>
      <c r="U23" s="9"/>
      <c r="V23" s="9">
        <v>8.3000000000000007</v>
      </c>
      <c r="W23" s="9"/>
      <c r="X23" s="9"/>
      <c r="Y23" s="9">
        <v>8.5</v>
      </c>
      <c r="Z23" s="9"/>
      <c r="AA23" s="9"/>
      <c r="AB23" s="9">
        <v>7.2</v>
      </c>
      <c r="AC23" s="9"/>
      <c r="AD23" s="9"/>
      <c r="AE23" s="9">
        <v>8.6999999999999993</v>
      </c>
      <c r="AF23" s="9"/>
      <c r="AG23" s="9"/>
      <c r="AH23" s="9"/>
      <c r="AL23" s="20"/>
      <c r="AX23" s="22"/>
      <c r="AY23" s="23"/>
      <c r="BB23" s="22"/>
      <c r="BC23" s="23"/>
    </row>
    <row r="24" spans="1:55" x14ac:dyDescent="0.4">
      <c r="A24" s="9" t="s">
        <v>34</v>
      </c>
      <c r="B24" s="9" t="s">
        <v>9</v>
      </c>
      <c r="C24" s="9" t="s">
        <v>6</v>
      </c>
      <c r="D24" s="9">
        <v>36.4</v>
      </c>
      <c r="E24" s="9"/>
      <c r="F24" s="9"/>
      <c r="G24" s="9">
        <v>41.6</v>
      </c>
      <c r="H24" s="9"/>
      <c r="I24" s="9"/>
      <c r="J24" s="9">
        <v>45</v>
      </c>
      <c r="K24" s="9"/>
      <c r="L24" s="9"/>
      <c r="M24" s="9">
        <v>42.8</v>
      </c>
      <c r="N24" s="9"/>
      <c r="O24" s="9"/>
      <c r="P24" s="9">
        <v>38.9</v>
      </c>
      <c r="Q24" s="9"/>
      <c r="R24" s="9"/>
      <c r="S24" s="9">
        <v>43.9</v>
      </c>
      <c r="T24" s="9"/>
      <c r="U24" s="9"/>
      <c r="V24" s="9">
        <v>42.7</v>
      </c>
      <c r="W24" s="9"/>
      <c r="X24" s="9"/>
      <c r="Y24" s="9">
        <v>43.9</v>
      </c>
      <c r="Z24" s="9"/>
      <c r="AA24" s="9"/>
      <c r="AB24" s="9">
        <v>37.4</v>
      </c>
      <c r="AC24" s="9"/>
      <c r="AD24" s="9"/>
      <c r="AE24" s="9">
        <v>44.6</v>
      </c>
      <c r="AF24" s="9"/>
      <c r="AG24" s="9"/>
      <c r="AH24" s="9"/>
      <c r="AL24" s="20"/>
      <c r="AX24" s="22"/>
      <c r="AY24" s="23"/>
      <c r="BB24" s="22"/>
      <c r="BC24" s="23"/>
    </row>
    <row r="25" spans="1:55" x14ac:dyDescent="0.4">
      <c r="A25" s="9" t="s">
        <v>35</v>
      </c>
      <c r="B25" s="9" t="s">
        <v>9</v>
      </c>
      <c r="C25" s="9" t="s">
        <v>6</v>
      </c>
      <c r="D25" s="9">
        <v>16.3</v>
      </c>
      <c r="E25" s="9"/>
      <c r="F25" s="9"/>
      <c r="G25" s="9">
        <v>18.100000000000001</v>
      </c>
      <c r="H25" s="9"/>
      <c r="I25" s="9"/>
      <c r="J25" s="9">
        <v>20.3</v>
      </c>
      <c r="K25" s="9"/>
      <c r="L25" s="9"/>
      <c r="M25" s="9">
        <v>20.6</v>
      </c>
      <c r="N25" s="9"/>
      <c r="O25" s="9"/>
      <c r="P25" s="9">
        <v>19</v>
      </c>
      <c r="Q25" s="9"/>
      <c r="R25" s="9"/>
      <c r="S25" s="9">
        <v>21.3</v>
      </c>
      <c r="T25" s="9"/>
      <c r="U25" s="9"/>
      <c r="V25" s="9">
        <v>21.4</v>
      </c>
      <c r="W25" s="9"/>
      <c r="X25" s="9"/>
      <c r="Y25" s="9">
        <v>24.4</v>
      </c>
      <c r="Z25" s="9"/>
      <c r="AA25" s="9"/>
      <c r="AB25" s="9">
        <v>23.5</v>
      </c>
      <c r="AC25" s="9"/>
      <c r="AD25" s="9"/>
      <c r="AE25" s="9">
        <v>27.6</v>
      </c>
      <c r="AF25" s="9"/>
      <c r="AG25" s="9"/>
      <c r="AH25" s="9"/>
      <c r="AL25" s="20"/>
      <c r="AX25" s="22"/>
      <c r="AY25" s="23"/>
      <c r="BB25" s="22"/>
      <c r="BC25" s="23"/>
    </row>
    <row r="26" spans="1:55" x14ac:dyDescent="0.4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L26" s="20"/>
      <c r="AX26" s="22"/>
      <c r="AY26" s="23"/>
      <c r="BB26" s="22"/>
      <c r="BC26" s="23"/>
    </row>
    <row r="27" spans="1:55" x14ac:dyDescent="0.4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L27" s="20"/>
      <c r="AX27" s="22"/>
      <c r="AY27" s="23"/>
      <c r="BB27" s="22"/>
      <c r="BC27" s="23"/>
    </row>
    <row r="28" spans="1:55" x14ac:dyDescent="0.4">
      <c r="A28" s="9" t="s">
        <v>38</v>
      </c>
      <c r="B28" s="9" t="s">
        <v>10</v>
      </c>
      <c r="C28" s="9" t="s">
        <v>3</v>
      </c>
      <c r="D28" s="9"/>
      <c r="E28" s="24">
        <v>2272963</v>
      </c>
      <c r="F28" s="24">
        <v>2637533</v>
      </c>
      <c r="G28" s="24">
        <v>3132228.0188172162</v>
      </c>
      <c r="H28" s="24">
        <v>3296724</v>
      </c>
      <c r="I28" s="24">
        <v>2847505</v>
      </c>
      <c r="J28" s="24">
        <v>2740058</v>
      </c>
      <c r="K28" s="24">
        <v>2514561.2428491707</v>
      </c>
      <c r="L28" s="24">
        <v>2036474.6669999999</v>
      </c>
      <c r="M28" s="24">
        <v>2325707.4030000004</v>
      </c>
      <c r="N28" s="24">
        <v>2343088.6910000001</v>
      </c>
      <c r="O28" s="24">
        <v>1932713.324</v>
      </c>
      <c r="P28" s="24">
        <v>1982197.419</v>
      </c>
      <c r="Q28" s="25">
        <v>2019167.773</v>
      </c>
      <c r="R28" s="25">
        <v>2490825.3759999997</v>
      </c>
      <c r="S28" s="25">
        <v>2549068.5210000002</v>
      </c>
      <c r="T28" s="25">
        <v>2350248.1570000001</v>
      </c>
      <c r="U28" s="25">
        <v>1951627.96</v>
      </c>
      <c r="V28" s="25">
        <v>2334606.3960000002</v>
      </c>
      <c r="W28" s="25">
        <v>2090448.9449999998</v>
      </c>
      <c r="X28" s="25">
        <v>2144576</v>
      </c>
      <c r="Y28" s="25">
        <v>2234350</v>
      </c>
      <c r="Z28" s="25">
        <v>2572255</v>
      </c>
      <c r="AA28" s="25">
        <v>2590130</v>
      </c>
      <c r="AB28" s="25">
        <v>2556340</v>
      </c>
      <c r="AC28" s="24">
        <v>2880643</v>
      </c>
      <c r="AD28" s="24">
        <v>2892432</v>
      </c>
      <c r="AE28" s="24">
        <v>2981166</v>
      </c>
      <c r="AF28" s="24">
        <v>2996580.34</v>
      </c>
      <c r="AG28" s="24"/>
      <c r="AH28" s="24"/>
      <c r="AL28" s="20"/>
      <c r="AX28" s="22"/>
      <c r="AY28" s="23"/>
      <c r="BB28" s="22"/>
      <c r="BC28" s="23"/>
    </row>
    <row r="29" spans="1:55" x14ac:dyDescent="0.4">
      <c r="A29" s="9" t="s">
        <v>37</v>
      </c>
      <c r="B29" s="9" t="s">
        <v>10</v>
      </c>
      <c r="C29" s="9" t="s">
        <v>3</v>
      </c>
      <c r="D29" s="9"/>
      <c r="E29" s="26">
        <v>1357932.3270949388</v>
      </c>
      <c r="F29" s="26">
        <v>1630261.8544206629</v>
      </c>
      <c r="G29" s="26">
        <v>1838293.1729522529</v>
      </c>
      <c r="H29" s="26">
        <v>1674508.1731898158</v>
      </c>
      <c r="I29" s="26">
        <v>1540687.1501122001</v>
      </c>
      <c r="J29" s="26">
        <v>1511742.4247667091</v>
      </c>
      <c r="K29" s="26">
        <v>1738268.914819354</v>
      </c>
      <c r="L29" s="26">
        <v>1318639.9855494727</v>
      </c>
      <c r="M29" s="26">
        <v>1294560.6112123749</v>
      </c>
      <c r="N29" s="26">
        <v>1501553.4415995462</v>
      </c>
      <c r="O29" s="26">
        <v>1192162.1668965709</v>
      </c>
      <c r="P29" s="27">
        <v>1205657.748931166</v>
      </c>
      <c r="Q29" s="25">
        <v>1398999.8261483752</v>
      </c>
      <c r="R29" s="25">
        <v>1585078.5767731899</v>
      </c>
      <c r="S29" s="25">
        <v>1322362.544762616</v>
      </c>
      <c r="T29" s="25">
        <v>1289766.1666263358</v>
      </c>
      <c r="U29" s="25">
        <v>1226016.6376248552</v>
      </c>
      <c r="V29" s="25">
        <v>1416777.217742705</v>
      </c>
      <c r="W29" s="25">
        <v>1614916.7059156599</v>
      </c>
      <c r="X29" s="25">
        <v>1400033.7749318122</v>
      </c>
      <c r="Y29" s="25">
        <v>1497890.0906165121</v>
      </c>
      <c r="Z29" s="25">
        <v>1904631.6837903997</v>
      </c>
      <c r="AA29" s="25">
        <v>2003247.15483942</v>
      </c>
      <c r="AB29" s="28">
        <v>2409865.7148631802</v>
      </c>
      <c r="AC29" s="24">
        <v>1952650</v>
      </c>
      <c r="AD29" s="24">
        <v>1841809</v>
      </c>
      <c r="AE29" s="24">
        <v>1843968</v>
      </c>
      <c r="AF29" s="24">
        <v>1739084.5794713134</v>
      </c>
      <c r="AG29" s="24">
        <v>1281099</v>
      </c>
      <c r="AH29" s="24"/>
      <c r="AL29" s="20"/>
      <c r="AX29" s="22"/>
      <c r="AY29" s="23"/>
      <c r="BB29" s="22"/>
      <c r="BC29" s="23"/>
    </row>
    <row r="30" spans="1:55" x14ac:dyDescent="0.4">
      <c r="A30" s="29" t="s">
        <v>36</v>
      </c>
      <c r="B30" s="29" t="s">
        <v>10</v>
      </c>
      <c r="C30" s="29" t="s">
        <v>3</v>
      </c>
      <c r="D30" s="29"/>
      <c r="E30" s="30">
        <f>E28+E29</f>
        <v>3630895.3270949386</v>
      </c>
      <c r="F30" s="30">
        <f t="shared" ref="F30:AG30" si="3">F28+F29</f>
        <v>4267794.8544206629</v>
      </c>
      <c r="G30" s="30">
        <f t="shared" si="3"/>
        <v>4970521.1917694695</v>
      </c>
      <c r="H30" s="30">
        <f t="shared" si="3"/>
        <v>4971232.1731898161</v>
      </c>
      <c r="I30" s="30">
        <f t="shared" si="3"/>
        <v>4388192.1501122005</v>
      </c>
      <c r="J30" s="30">
        <f t="shared" si="3"/>
        <v>4251800.4247667091</v>
      </c>
      <c r="K30" s="30">
        <f t="shared" si="3"/>
        <v>4252830.1576685244</v>
      </c>
      <c r="L30" s="30">
        <f t="shared" si="3"/>
        <v>3355114.6525494726</v>
      </c>
      <c r="M30" s="30">
        <f t="shared" si="3"/>
        <v>3620268.0142123755</v>
      </c>
      <c r="N30" s="30">
        <f t="shared" si="3"/>
        <v>3844642.1325995466</v>
      </c>
      <c r="O30" s="30">
        <f t="shared" si="3"/>
        <v>3124875.490896571</v>
      </c>
      <c r="P30" s="30">
        <f t="shared" si="3"/>
        <v>3187855.167931166</v>
      </c>
      <c r="Q30" s="30">
        <f t="shared" si="3"/>
        <v>3418167.599148375</v>
      </c>
      <c r="R30" s="30">
        <f t="shared" si="3"/>
        <v>4075903.9527731896</v>
      </c>
      <c r="S30" s="30">
        <f t="shared" si="3"/>
        <v>3871431.0657626162</v>
      </c>
      <c r="T30" s="30">
        <f t="shared" si="3"/>
        <v>3640014.3236263357</v>
      </c>
      <c r="U30" s="30">
        <f t="shared" si="3"/>
        <v>3177644.5976248551</v>
      </c>
      <c r="V30" s="30">
        <f t="shared" si="3"/>
        <v>3751383.6137427054</v>
      </c>
      <c r="W30" s="30">
        <f t="shared" si="3"/>
        <v>3705365.65091566</v>
      </c>
      <c r="X30" s="30">
        <f t="shared" si="3"/>
        <v>3544609.7749318122</v>
      </c>
      <c r="Y30" s="30">
        <f t="shared" si="3"/>
        <v>3732240.0906165121</v>
      </c>
      <c r="Z30" s="30">
        <f t="shared" si="3"/>
        <v>4476886.6837903997</v>
      </c>
      <c r="AA30" s="30">
        <f t="shared" si="3"/>
        <v>4593377.1548394198</v>
      </c>
      <c r="AB30" s="30">
        <f>AB28+AB29</f>
        <v>4966205.7148631802</v>
      </c>
      <c r="AC30" s="30">
        <f t="shared" si="3"/>
        <v>4833293</v>
      </c>
      <c r="AD30" s="30">
        <f t="shared" si="3"/>
        <v>4734241</v>
      </c>
      <c r="AE30" s="30">
        <f t="shared" si="3"/>
        <v>4825134</v>
      </c>
      <c r="AF30" s="30">
        <f>AF28+AF29</f>
        <v>4735664.9194713132</v>
      </c>
      <c r="AG30" s="30">
        <f t="shared" si="3"/>
        <v>1281099</v>
      </c>
      <c r="AH30" s="30"/>
      <c r="AL30" s="20"/>
      <c r="AX30" s="22"/>
      <c r="AY30" s="23"/>
      <c r="BB30" s="22"/>
      <c r="BC30" s="23"/>
    </row>
    <row r="31" spans="1:55" x14ac:dyDescent="0.4">
      <c r="A31" s="9" t="s">
        <v>26</v>
      </c>
      <c r="B31" s="9" t="s">
        <v>10</v>
      </c>
      <c r="C31" s="9" t="s">
        <v>3</v>
      </c>
      <c r="D31" s="9"/>
      <c r="E31" s="24">
        <v>890509321</v>
      </c>
      <c r="F31" s="24">
        <v>950404475</v>
      </c>
      <c r="G31" s="24">
        <v>944813412.55429995</v>
      </c>
      <c r="H31" s="24">
        <v>1092333547</v>
      </c>
      <c r="I31" s="24">
        <v>1052876552</v>
      </c>
      <c r="J31" s="24">
        <v>1128239527</v>
      </c>
      <c r="K31" s="24">
        <v>1140994475.2143948</v>
      </c>
      <c r="L31" s="24">
        <v>839854185.95899999</v>
      </c>
      <c r="M31" s="24">
        <v>620697947.66399992</v>
      </c>
      <c r="N31" s="24">
        <v>686399482.14300001</v>
      </c>
      <c r="O31" s="24">
        <v>575186206.34600008</v>
      </c>
      <c r="P31" s="24">
        <v>669306034.33000004</v>
      </c>
      <c r="Q31" s="25">
        <v>699589875.278</v>
      </c>
      <c r="R31" s="25">
        <v>731050390.09800005</v>
      </c>
      <c r="S31" s="25">
        <v>726271573.23600006</v>
      </c>
      <c r="T31" s="25">
        <v>876552192.86000001</v>
      </c>
      <c r="U31" s="25">
        <v>810095693.10800004</v>
      </c>
      <c r="V31" s="25">
        <v>959402961.35300004</v>
      </c>
      <c r="W31" s="25">
        <v>1063272649.178</v>
      </c>
      <c r="X31" s="25">
        <v>913236138.65999997</v>
      </c>
      <c r="Y31" s="25">
        <v>1038584490.267</v>
      </c>
      <c r="Z31" s="25">
        <v>1184683103.7120001</v>
      </c>
      <c r="AA31" s="25">
        <v>1080225160.8670001</v>
      </c>
      <c r="AB31" s="25">
        <v>981170210</v>
      </c>
      <c r="AC31" s="24">
        <v>971593594</v>
      </c>
      <c r="AD31" s="24">
        <v>2474142294</v>
      </c>
      <c r="AE31" s="24">
        <v>1030149659</v>
      </c>
      <c r="AF31" s="24">
        <v>1023827057.3176408</v>
      </c>
      <c r="AG31" s="24">
        <v>725917341.53836775</v>
      </c>
      <c r="AH31" s="24"/>
      <c r="AL31" s="20"/>
      <c r="AX31" s="22"/>
      <c r="AY31" s="23"/>
      <c r="BB31" s="22"/>
      <c r="BC31" s="23"/>
    </row>
    <row r="32" spans="1:55" x14ac:dyDescent="0.4">
      <c r="A32" s="29" t="s">
        <v>25</v>
      </c>
      <c r="B32" s="29" t="s">
        <v>10</v>
      </c>
      <c r="C32" s="29" t="s">
        <v>3</v>
      </c>
      <c r="D32" s="29"/>
      <c r="E32" s="30">
        <f>E31+E28</f>
        <v>892782284</v>
      </c>
      <c r="F32" s="30">
        <f t="shared" ref="F32:AA32" si="4">F31+F28</f>
        <v>953042008</v>
      </c>
      <c r="G32" s="30">
        <f t="shared" si="4"/>
        <v>947945640.57311714</v>
      </c>
      <c r="H32" s="30">
        <f t="shared" si="4"/>
        <v>1095630271</v>
      </c>
      <c r="I32" s="30">
        <f t="shared" si="4"/>
        <v>1055724057</v>
      </c>
      <c r="J32" s="30">
        <f t="shared" si="4"/>
        <v>1130979585</v>
      </c>
      <c r="K32" s="30">
        <f t="shared" si="4"/>
        <v>1143509036.4572439</v>
      </c>
      <c r="L32" s="30">
        <f t="shared" si="4"/>
        <v>841890660.62600005</v>
      </c>
      <c r="M32" s="30">
        <f t="shared" si="4"/>
        <v>623023655.06699991</v>
      </c>
      <c r="N32" s="30">
        <f t="shared" si="4"/>
        <v>688742570.83399999</v>
      </c>
      <c r="O32" s="30">
        <f t="shared" si="4"/>
        <v>577118919.67000008</v>
      </c>
      <c r="P32" s="30">
        <f t="shared" si="4"/>
        <v>671288231.74900007</v>
      </c>
      <c r="Q32" s="30">
        <f t="shared" si="4"/>
        <v>701609043.051</v>
      </c>
      <c r="R32" s="30">
        <f t="shared" si="4"/>
        <v>733541215.4740001</v>
      </c>
      <c r="S32" s="30">
        <f t="shared" si="4"/>
        <v>728820641.75700009</v>
      </c>
      <c r="T32" s="30">
        <f t="shared" si="4"/>
        <v>878902441.01699996</v>
      </c>
      <c r="U32" s="30">
        <f t="shared" si="4"/>
        <v>812047321.06800008</v>
      </c>
      <c r="V32" s="30">
        <f t="shared" si="4"/>
        <v>961737567.74900007</v>
      </c>
      <c r="W32" s="30">
        <f t="shared" si="4"/>
        <v>1065363098.123</v>
      </c>
      <c r="X32" s="30">
        <f t="shared" si="4"/>
        <v>915380714.65999997</v>
      </c>
      <c r="Y32" s="30">
        <f t="shared" si="4"/>
        <v>1040818840.267</v>
      </c>
      <c r="Z32" s="30">
        <f t="shared" si="4"/>
        <v>1187255358.7120001</v>
      </c>
      <c r="AA32" s="30">
        <f t="shared" si="4"/>
        <v>1082815290.8670001</v>
      </c>
      <c r="AB32" s="30">
        <f>AB31+AB28</f>
        <v>983726550</v>
      </c>
      <c r="AC32" s="30">
        <f t="shared" ref="AC32:AG32" si="5">AC31+AC28</f>
        <v>974474237</v>
      </c>
      <c r="AD32" s="30">
        <f t="shared" si="5"/>
        <v>2477034726</v>
      </c>
      <c r="AE32" s="30">
        <f t="shared" si="5"/>
        <v>1033130825</v>
      </c>
      <c r="AF32" s="30">
        <f>AF31+AF28</f>
        <v>1026823637.6576408</v>
      </c>
      <c r="AG32" s="30">
        <f t="shared" si="5"/>
        <v>725917341.53836775</v>
      </c>
      <c r="AH32" s="30"/>
      <c r="AL32" s="20"/>
      <c r="AX32" s="22"/>
      <c r="AY32" s="23"/>
      <c r="BB32" s="22"/>
      <c r="BC32" s="23"/>
    </row>
    <row r="33" spans="1:55" x14ac:dyDescent="0.4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L33" s="20"/>
      <c r="AX33" s="22"/>
      <c r="AY33" s="23"/>
      <c r="BB33" s="22"/>
      <c r="BC33" s="23"/>
    </row>
    <row r="34" spans="1:55" ht="30" x14ac:dyDescent="0.4">
      <c r="A34" s="9" t="s">
        <v>22</v>
      </c>
      <c r="B34" s="9"/>
      <c r="C34" s="31" t="s">
        <v>12</v>
      </c>
      <c r="D34" s="31"/>
      <c r="E34" s="24">
        <v>2972</v>
      </c>
      <c r="F34" s="24">
        <v>2965</v>
      </c>
      <c r="G34" s="24">
        <v>2945</v>
      </c>
      <c r="H34" s="24">
        <v>2950</v>
      </c>
      <c r="I34" s="24">
        <v>3391</v>
      </c>
      <c r="J34" s="24">
        <v>3374</v>
      </c>
      <c r="K34" s="24">
        <v>3075</v>
      </c>
      <c r="L34" s="24">
        <v>3094</v>
      </c>
      <c r="M34" s="24">
        <v>3670</v>
      </c>
      <c r="N34" s="24">
        <v>3445</v>
      </c>
      <c r="O34" s="24">
        <v>3259</v>
      </c>
      <c r="P34" s="24">
        <v>2993</v>
      </c>
      <c r="Q34" s="24">
        <v>2905</v>
      </c>
      <c r="R34" s="24">
        <v>3096</v>
      </c>
      <c r="S34" s="24">
        <v>3258</v>
      </c>
      <c r="T34" s="24">
        <v>3829</v>
      </c>
      <c r="U34" s="24">
        <v>4285</v>
      </c>
      <c r="V34" s="24">
        <v>4588</v>
      </c>
      <c r="W34" s="24">
        <v>3234</v>
      </c>
      <c r="X34" s="24">
        <v>3409</v>
      </c>
      <c r="Y34" s="24">
        <v>3535</v>
      </c>
      <c r="Z34" s="24">
        <v>3845</v>
      </c>
      <c r="AA34" s="24">
        <v>3896</v>
      </c>
      <c r="AB34" s="24">
        <v>3865</v>
      </c>
      <c r="AC34" s="24">
        <v>4142</v>
      </c>
      <c r="AD34" s="34">
        <v>0</v>
      </c>
      <c r="AE34" s="24">
        <v>5700</v>
      </c>
      <c r="AF34" s="24">
        <v>6070</v>
      </c>
      <c r="AG34" s="24">
        <v>6582</v>
      </c>
      <c r="AH34" s="24"/>
      <c r="AL34" s="20"/>
      <c r="AX34" s="22"/>
      <c r="AY34" s="23"/>
      <c r="BB34" s="22"/>
      <c r="BC34" s="23"/>
    </row>
    <row r="35" spans="1:55" ht="14.5" customHeight="1" x14ac:dyDescent="0.4">
      <c r="A35" s="9" t="s">
        <v>20</v>
      </c>
      <c r="B35" s="9"/>
      <c r="C35" s="32" t="s">
        <v>11</v>
      </c>
      <c r="D35" s="31"/>
      <c r="E35" s="24">
        <f>6400000/100</f>
        <v>64000</v>
      </c>
      <c r="F35" s="24">
        <f>(6600000)/100</f>
        <v>66000</v>
      </c>
      <c r="G35" s="24">
        <v>70593.33</v>
      </c>
      <c r="H35" s="24">
        <v>74000</v>
      </c>
      <c r="I35" s="24">
        <v>69000</v>
      </c>
      <c r="J35" s="24">
        <v>82000</v>
      </c>
      <c r="K35" s="24">
        <v>76000</v>
      </c>
      <c r="L35" s="24">
        <v>77000</v>
      </c>
      <c r="M35" s="24">
        <v>82000</v>
      </c>
      <c r="N35" s="24">
        <v>78000</v>
      </c>
      <c r="O35" s="24">
        <v>71000</v>
      </c>
      <c r="P35" s="24">
        <v>68069.53</v>
      </c>
      <c r="Q35" s="24">
        <v>69000</v>
      </c>
      <c r="R35" s="24">
        <v>79000</v>
      </c>
      <c r="S35" s="24">
        <v>84000</v>
      </c>
      <c r="T35" s="24">
        <v>91000</v>
      </c>
      <c r="U35" s="24">
        <v>93000</v>
      </c>
      <c r="V35" s="24">
        <v>99000</v>
      </c>
      <c r="W35" s="24">
        <v>109000</v>
      </c>
      <c r="X35" s="24">
        <v>112000</v>
      </c>
      <c r="Y35" s="24">
        <v>113000</v>
      </c>
      <c r="Z35" s="24">
        <v>117000</v>
      </c>
      <c r="AA35" s="24">
        <v>115000</v>
      </c>
      <c r="AB35" s="24">
        <v>109000</v>
      </c>
      <c r="AC35" s="24">
        <v>116000</v>
      </c>
      <c r="AD35" s="33">
        <v>0</v>
      </c>
      <c r="AE35" s="24">
        <v>135044</v>
      </c>
      <c r="AF35" s="24">
        <v>136592</v>
      </c>
      <c r="AG35" s="24">
        <v>145924</v>
      </c>
      <c r="AH35" s="24"/>
      <c r="AL35" s="20"/>
      <c r="AX35" s="22"/>
      <c r="AY35" s="23"/>
      <c r="BB35" s="22"/>
      <c r="BC35" s="23"/>
    </row>
    <row r="36" spans="1:55" x14ac:dyDescent="0.4">
      <c r="A36" s="29" t="s">
        <v>23</v>
      </c>
      <c r="B36" s="29"/>
      <c r="C36" s="29"/>
      <c r="D36" s="29"/>
      <c r="E36" s="30">
        <f>E34+E35</f>
        <v>66972</v>
      </c>
      <c r="F36" s="30">
        <f t="shared" ref="F36:AC36" si="6">F34+F35</f>
        <v>68965</v>
      </c>
      <c r="G36" s="30">
        <f t="shared" si="6"/>
        <v>73538.33</v>
      </c>
      <c r="H36" s="30">
        <f t="shared" si="6"/>
        <v>76950</v>
      </c>
      <c r="I36" s="30">
        <f t="shared" si="6"/>
        <v>72391</v>
      </c>
      <c r="J36" s="30">
        <f t="shared" si="6"/>
        <v>85374</v>
      </c>
      <c r="K36" s="30">
        <f t="shared" si="6"/>
        <v>79075</v>
      </c>
      <c r="L36" s="30">
        <f t="shared" si="6"/>
        <v>80094</v>
      </c>
      <c r="M36" s="30">
        <f t="shared" si="6"/>
        <v>85670</v>
      </c>
      <c r="N36" s="30">
        <f t="shared" si="6"/>
        <v>81445</v>
      </c>
      <c r="O36" s="30">
        <f t="shared" si="6"/>
        <v>74259</v>
      </c>
      <c r="P36" s="30">
        <f t="shared" si="6"/>
        <v>71062.53</v>
      </c>
      <c r="Q36" s="30">
        <f t="shared" si="6"/>
        <v>71905</v>
      </c>
      <c r="R36" s="30">
        <f t="shared" si="6"/>
        <v>82096</v>
      </c>
      <c r="S36" s="30">
        <f t="shared" si="6"/>
        <v>87258</v>
      </c>
      <c r="T36" s="30">
        <f t="shared" si="6"/>
        <v>94829</v>
      </c>
      <c r="U36" s="30">
        <f t="shared" si="6"/>
        <v>97285</v>
      </c>
      <c r="V36" s="30">
        <f t="shared" si="6"/>
        <v>103588</v>
      </c>
      <c r="W36" s="30">
        <f t="shared" si="6"/>
        <v>112234</v>
      </c>
      <c r="X36" s="30">
        <f t="shared" si="6"/>
        <v>115409</v>
      </c>
      <c r="Y36" s="30">
        <f t="shared" si="6"/>
        <v>116535</v>
      </c>
      <c r="Z36" s="30">
        <f t="shared" si="6"/>
        <v>120845</v>
      </c>
      <c r="AA36" s="30">
        <f t="shared" si="6"/>
        <v>118896</v>
      </c>
      <c r="AB36" s="30">
        <f t="shared" si="6"/>
        <v>112865</v>
      </c>
      <c r="AC36" s="30">
        <f t="shared" si="6"/>
        <v>120142</v>
      </c>
      <c r="AD36" s="33">
        <f>SUM(AD34:AD35)</f>
        <v>0</v>
      </c>
      <c r="AE36" s="29">
        <f t="shared" ref="AE36" si="7">SUM(AE34:AE35)</f>
        <v>140744</v>
      </c>
      <c r="AF36" s="29">
        <f>SUM(AF34:AF35)</f>
        <v>142662</v>
      </c>
      <c r="AG36" s="29">
        <f>SUM(AG34:AG35)</f>
        <v>152506</v>
      </c>
      <c r="AH36" s="29"/>
      <c r="AX36" s="22"/>
      <c r="AY36" s="23"/>
      <c r="BB36" s="22"/>
      <c r="BC36" s="23"/>
    </row>
    <row r="37" spans="1:55" x14ac:dyDescent="0.4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X37" s="22"/>
      <c r="AY37" s="23"/>
      <c r="BB37" s="22"/>
      <c r="BC37" s="23"/>
    </row>
    <row r="38" spans="1:55" x14ac:dyDescent="0.4">
      <c r="A38" s="9" t="s">
        <v>40</v>
      </c>
      <c r="B38" s="9" t="s">
        <v>21</v>
      </c>
      <c r="C38" s="9"/>
      <c r="D38" s="9"/>
      <c r="E38" s="9"/>
      <c r="F38" s="9"/>
      <c r="G38" s="24">
        <v>136631</v>
      </c>
      <c r="H38" s="24">
        <v>134670</v>
      </c>
      <c r="I38" s="24">
        <v>114007</v>
      </c>
      <c r="J38" s="24">
        <v>108586</v>
      </c>
      <c r="K38" s="24">
        <v>42300</v>
      </c>
      <c r="L38" s="24">
        <v>85746</v>
      </c>
      <c r="M38" s="24">
        <v>93697</v>
      </c>
      <c r="N38" s="24">
        <v>82127</v>
      </c>
      <c r="O38" s="24">
        <v>73217</v>
      </c>
      <c r="P38" s="24">
        <v>80877</v>
      </c>
      <c r="Q38" s="24">
        <v>82944</v>
      </c>
      <c r="R38" s="24">
        <v>99607</v>
      </c>
      <c r="S38" s="24">
        <v>98730</v>
      </c>
      <c r="T38" s="24">
        <v>82448</v>
      </c>
      <c r="U38" s="24">
        <v>74977</v>
      </c>
      <c r="V38" s="24">
        <v>82413</v>
      </c>
      <c r="W38" s="24">
        <v>83874</v>
      </c>
      <c r="X38" s="24">
        <v>83369</v>
      </c>
      <c r="Y38" s="24">
        <v>78616</v>
      </c>
      <c r="Z38" s="24">
        <v>94793</v>
      </c>
      <c r="AA38" s="9"/>
      <c r="AB38" s="9"/>
      <c r="AC38" s="9"/>
      <c r="AD38" s="9"/>
      <c r="AE38" s="9"/>
      <c r="AF38" s="9"/>
      <c r="AG38" s="9"/>
      <c r="AH38" s="9"/>
      <c r="AX38" s="22"/>
      <c r="AY38" s="23"/>
      <c r="BB38" s="22"/>
      <c r="BC38" s="23"/>
    </row>
    <row r="39" spans="1:55" x14ac:dyDescent="0.4">
      <c r="A39" s="9" t="s">
        <v>41</v>
      </c>
      <c r="B39" s="9" t="s">
        <v>21</v>
      </c>
      <c r="C39" s="9"/>
      <c r="D39" s="9"/>
      <c r="E39" s="9"/>
      <c r="F39" s="9"/>
      <c r="G39" s="24">
        <v>165637</v>
      </c>
      <c r="H39" s="24">
        <v>141439</v>
      </c>
      <c r="I39" s="24">
        <v>127179</v>
      </c>
      <c r="J39" s="24">
        <v>122984</v>
      </c>
      <c r="K39" s="24">
        <v>119563</v>
      </c>
      <c r="L39" s="24">
        <v>106108</v>
      </c>
      <c r="M39" s="24">
        <v>96370</v>
      </c>
      <c r="N39" s="24">
        <v>94560</v>
      </c>
      <c r="O39" s="24">
        <v>89340</v>
      </c>
      <c r="P39" s="24">
        <v>89828</v>
      </c>
      <c r="Q39" s="24">
        <v>103801</v>
      </c>
      <c r="R39" s="24">
        <v>101867</v>
      </c>
      <c r="S39" s="24">
        <v>95742</v>
      </c>
      <c r="T39" s="24">
        <v>82337</v>
      </c>
      <c r="U39" s="24">
        <v>82079</v>
      </c>
      <c r="V39" s="24">
        <v>80410</v>
      </c>
      <c r="W39" s="24">
        <v>92865</v>
      </c>
      <c r="X39" s="24">
        <v>93662</v>
      </c>
      <c r="Y39" s="24">
        <v>81644</v>
      </c>
      <c r="Z39" s="24">
        <v>99972</v>
      </c>
      <c r="AA39" s="9"/>
      <c r="AB39" s="9"/>
      <c r="AC39" s="9"/>
      <c r="AD39" s="9"/>
      <c r="AE39" s="9"/>
      <c r="AF39" s="9"/>
      <c r="AG39" s="9"/>
      <c r="AH39" s="9"/>
    </row>
    <row r="40" spans="1:55" x14ac:dyDescent="0.4">
      <c r="A40" s="9" t="s">
        <v>42</v>
      </c>
      <c r="B40" s="9" t="s">
        <v>21</v>
      </c>
      <c r="C40" s="9"/>
      <c r="D40" s="9"/>
      <c r="E40" s="9"/>
      <c r="F40" s="9"/>
      <c r="G40" s="24">
        <v>72110</v>
      </c>
      <c r="H40" s="24">
        <v>56793</v>
      </c>
      <c r="I40" s="24">
        <v>55542</v>
      </c>
      <c r="J40" s="24">
        <v>52304</v>
      </c>
      <c r="K40" s="24">
        <v>61022</v>
      </c>
      <c r="L40" s="24">
        <v>49657</v>
      </c>
      <c r="M40" s="24">
        <v>43117</v>
      </c>
      <c r="N40" s="24">
        <v>43189</v>
      </c>
      <c r="O40" s="24">
        <v>38618</v>
      </c>
      <c r="P40" s="24">
        <v>41255</v>
      </c>
      <c r="Q40" s="24">
        <v>44761</v>
      </c>
      <c r="R40" s="24">
        <v>47412</v>
      </c>
      <c r="S40" s="24">
        <v>39614</v>
      </c>
      <c r="T40" s="24">
        <v>36830</v>
      </c>
      <c r="U40" s="24">
        <v>40506</v>
      </c>
      <c r="V40" s="24">
        <v>42026</v>
      </c>
      <c r="W40" s="24">
        <v>48317</v>
      </c>
      <c r="X40" s="24">
        <v>47832</v>
      </c>
      <c r="Y40" s="24">
        <v>43267</v>
      </c>
      <c r="Z40" s="24">
        <v>55758</v>
      </c>
      <c r="AA40" s="9"/>
      <c r="AB40" s="9"/>
      <c r="AC40" s="9"/>
      <c r="AD40" s="9"/>
      <c r="AE40" s="9"/>
      <c r="AF40" s="9"/>
      <c r="AG40" s="9"/>
      <c r="AH40" s="9"/>
    </row>
  </sheetData>
  <hyperlinks>
    <hyperlink ref="C35" r:id="rId1" xr:uid="{F330C644-518D-47BE-B09D-9EB277ADB506}"/>
    <hyperlink ref="C34" r:id="rId2" xr:uid="{38532DAB-214F-4EDA-A81B-A5F6077F5639}"/>
    <hyperlink ref="A17" r:id="rId3" display="Govt.@ (lakh Crore)" xr:uid="{65B3CD8E-6FE5-4F67-87FC-028F972A1C62}"/>
  </hyperlinks>
  <pageMargins left="0.7" right="0.7" top="0.75" bottom="0.75" header="0.3" footer="0.3"/>
  <headerFooter>
    <oddFooter>&amp;L_x000D_&amp;1#&amp;"Aptos"&amp;9&amp;K008000 Classification | Internal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E1BA-A938-4026-BEF1-69117B3FC0AD}">
  <dimension ref="A1:AG20"/>
  <sheetViews>
    <sheetView tabSelected="1" workbookViewId="0">
      <pane xSplit="1" topLeftCell="X1" activePane="topRight" state="frozen"/>
      <selection activeCell="C2" sqref="C2:AG45"/>
      <selection pane="topRight" activeCell="A10" sqref="A10"/>
    </sheetView>
  </sheetViews>
  <sheetFormatPr defaultRowHeight="14.5" x14ac:dyDescent="0.35"/>
  <cols>
    <col min="1" max="1" width="20" bestFit="1" customWidth="1"/>
    <col min="2" max="2" width="14.36328125" customWidth="1"/>
    <col min="3" max="21" width="10" bestFit="1" customWidth="1"/>
    <col min="22" max="22" width="12" bestFit="1" customWidth="1"/>
    <col min="23" max="23" width="10" bestFit="1" customWidth="1"/>
    <col min="24" max="25" width="12" bestFit="1" customWidth="1"/>
    <col min="26" max="27" width="10" bestFit="1" customWidth="1"/>
    <col min="28" max="28" width="12" bestFit="1" customWidth="1"/>
    <col min="29" max="29" width="11.453125" bestFit="1" customWidth="1"/>
    <col min="30" max="30" width="12" bestFit="1" customWidth="1"/>
    <col min="31" max="31" width="11.453125" bestFit="1" customWidth="1"/>
    <col min="32" max="32" width="8.90625" bestFit="1" customWidth="1"/>
  </cols>
  <sheetData>
    <row r="1" spans="1:33" ht="15" x14ac:dyDescent="0.4">
      <c r="A1" s="6" t="s">
        <v>232</v>
      </c>
      <c r="B1" s="6" t="s">
        <v>0</v>
      </c>
      <c r="C1" s="7">
        <v>45352</v>
      </c>
      <c r="D1" s="7">
        <v>45383</v>
      </c>
      <c r="E1" s="7">
        <v>45413</v>
      </c>
      <c r="F1" s="7">
        <v>45444</v>
      </c>
      <c r="G1" s="7">
        <v>45474</v>
      </c>
      <c r="H1" s="7">
        <v>45505</v>
      </c>
      <c r="I1" s="7">
        <v>45536</v>
      </c>
      <c r="J1" s="7">
        <v>45566</v>
      </c>
      <c r="K1" s="7">
        <v>45597</v>
      </c>
      <c r="L1" s="7">
        <v>45627</v>
      </c>
      <c r="M1" s="7">
        <v>45658</v>
      </c>
      <c r="N1" s="7">
        <v>45689</v>
      </c>
      <c r="O1" s="7">
        <v>45717</v>
      </c>
      <c r="P1" s="7">
        <v>45748</v>
      </c>
      <c r="Q1" s="7">
        <v>45778</v>
      </c>
      <c r="R1" s="7">
        <v>45809</v>
      </c>
      <c r="S1" s="7">
        <v>45839</v>
      </c>
      <c r="T1" s="7">
        <v>45870</v>
      </c>
      <c r="U1" s="7">
        <v>45901</v>
      </c>
      <c r="V1" s="7">
        <v>45931</v>
      </c>
      <c r="W1" s="7">
        <v>45962</v>
      </c>
      <c r="X1" s="7">
        <v>45992</v>
      </c>
      <c r="Y1" s="7">
        <v>46023</v>
      </c>
      <c r="Z1" s="7">
        <v>46054</v>
      </c>
      <c r="AA1" s="7">
        <v>46082</v>
      </c>
      <c r="AB1" s="7">
        <v>46113</v>
      </c>
      <c r="AC1" s="7">
        <v>46143</v>
      </c>
      <c r="AD1" s="7">
        <v>46174</v>
      </c>
      <c r="AE1" s="7">
        <v>46204</v>
      </c>
      <c r="AF1" s="7">
        <v>46235</v>
      </c>
      <c r="AG1" s="7">
        <v>46266</v>
      </c>
    </row>
    <row r="2" spans="1:33" x14ac:dyDescent="0.35">
      <c r="A2" s="35" t="s">
        <v>240</v>
      </c>
      <c r="B2" s="62" t="s">
        <v>263</v>
      </c>
      <c r="C2" s="45">
        <v>53.4</v>
      </c>
      <c r="D2" s="45">
        <v>57.25</v>
      </c>
      <c r="E2" s="45">
        <v>58.91</v>
      </c>
      <c r="F2" s="45">
        <v>61.15</v>
      </c>
      <c r="G2" s="45">
        <v>64.959999999999994</v>
      </c>
      <c r="H2" s="45">
        <v>66.7</v>
      </c>
      <c r="I2" s="45">
        <v>68</v>
      </c>
      <c r="J2" s="45">
        <v>68.5</v>
      </c>
      <c r="K2" s="45">
        <v>68.05</v>
      </c>
      <c r="L2" s="45">
        <v>69.33</v>
      </c>
      <c r="M2" s="45">
        <v>68.05</v>
      </c>
      <c r="N2" s="45">
        <v>67.58</v>
      </c>
      <c r="O2" s="45">
        <v>66.7</v>
      </c>
      <c r="P2" s="45">
        <v>69.5</v>
      </c>
      <c r="Q2" s="45">
        <v>72.180000000000007</v>
      </c>
      <c r="R2" s="45">
        <v>74.790000000000006</v>
      </c>
      <c r="S2" s="45">
        <v>77</v>
      </c>
      <c r="T2" s="45">
        <v>76.709999999999994</v>
      </c>
      <c r="U2" s="45">
        <v>77.78</v>
      </c>
      <c r="V2" s="45">
        <v>79.87</v>
      </c>
      <c r="W2" s="45">
        <v>80.8</v>
      </c>
      <c r="X2" s="45">
        <v>80.23</v>
      </c>
      <c r="Y2" s="45">
        <v>81.010000000000005</v>
      </c>
      <c r="Z2" s="45">
        <v>82.03</v>
      </c>
      <c r="AA2" s="45">
        <v>73.73</v>
      </c>
      <c r="AB2" s="45">
        <v>81.92</v>
      </c>
      <c r="AC2" s="45">
        <v>81.58</v>
      </c>
      <c r="AD2" s="45">
        <v>82.22</v>
      </c>
      <c r="AE2" s="45">
        <v>85.75</v>
      </c>
      <c r="AF2" s="45">
        <v>87.07</v>
      </c>
      <c r="AG2" s="45">
        <v>82.64</v>
      </c>
    </row>
    <row r="3" spans="1:33" x14ac:dyDescent="0.35">
      <c r="A3" s="35" t="s">
        <v>241</v>
      </c>
      <c r="B3" s="63"/>
      <c r="C3" s="45">
        <v>23.53</v>
      </c>
      <c r="D3" s="45">
        <v>24.78</v>
      </c>
      <c r="E3" s="45">
        <v>25.43</v>
      </c>
      <c r="F3" s="45">
        <v>27.72</v>
      </c>
      <c r="G3" s="45">
        <v>29.38</v>
      </c>
      <c r="H3" s="45">
        <v>30.13</v>
      </c>
      <c r="I3" s="45">
        <v>31.15</v>
      </c>
      <c r="J3" s="45">
        <v>29.93</v>
      </c>
      <c r="K3" s="45">
        <v>30.4</v>
      </c>
      <c r="L3" s="45">
        <v>30.61</v>
      </c>
      <c r="M3" s="45">
        <v>29.51</v>
      </c>
      <c r="N3" s="45">
        <v>27.43</v>
      </c>
      <c r="O3" s="45">
        <v>29.49</v>
      </c>
      <c r="P3" s="45">
        <v>30.61</v>
      </c>
      <c r="Q3" s="45">
        <v>32.090000000000003</v>
      </c>
      <c r="R3" s="45">
        <v>32.729999999999997</v>
      </c>
      <c r="S3" s="45">
        <v>33.32</v>
      </c>
      <c r="T3" s="45">
        <v>33.119999999999997</v>
      </c>
      <c r="U3" s="45">
        <v>33.72</v>
      </c>
      <c r="V3" s="45">
        <v>35.21</v>
      </c>
      <c r="W3" s="45">
        <v>35.700000000000003</v>
      </c>
      <c r="X3" s="45">
        <v>35.76</v>
      </c>
      <c r="Y3" s="45">
        <v>34.908999999999999</v>
      </c>
      <c r="Z3" s="46">
        <v>35.43</v>
      </c>
      <c r="AA3" s="45">
        <v>32.01</v>
      </c>
      <c r="AB3" s="45">
        <v>25.78</v>
      </c>
      <c r="AC3" s="46">
        <v>36.17</v>
      </c>
      <c r="AD3" s="45">
        <v>37.369999999999997</v>
      </c>
      <c r="AE3" s="45">
        <v>38.4</v>
      </c>
      <c r="AF3" s="45">
        <v>39.25</v>
      </c>
      <c r="AG3" s="45">
        <v>38.89</v>
      </c>
    </row>
    <row r="4" spans="1:33" x14ac:dyDescent="0.35">
      <c r="A4" s="35" t="s">
        <v>234</v>
      </c>
      <c r="B4" s="63"/>
      <c r="C4" s="35">
        <v>1541</v>
      </c>
      <c r="D4" s="35">
        <v>1545</v>
      </c>
      <c r="E4" s="35">
        <v>1552</v>
      </c>
      <c r="F4" s="35">
        <v>1566</v>
      </c>
      <c r="G4" s="35">
        <v>1581</v>
      </c>
      <c r="H4" s="35">
        <v>1599</v>
      </c>
      <c r="I4" s="35">
        <v>1623</v>
      </c>
      <c r="J4" s="35">
        <v>1651</v>
      </c>
      <c r="K4" s="35">
        <v>1666</v>
      </c>
      <c r="L4" s="35">
        <v>1700</v>
      </c>
      <c r="M4" s="35">
        <v>1711</v>
      </c>
      <c r="N4" s="35">
        <v>1739</v>
      </c>
      <c r="O4" s="35">
        <v>1760</v>
      </c>
      <c r="P4" s="35">
        <v>1758</v>
      </c>
      <c r="Q4" s="35">
        <v>1774</v>
      </c>
      <c r="R4" s="35">
        <v>1791</v>
      </c>
      <c r="S4" s="35">
        <v>1819</v>
      </c>
      <c r="T4" s="35">
        <v>1843</v>
      </c>
      <c r="U4" s="35">
        <v>1849</v>
      </c>
      <c r="V4" s="35">
        <v>1865</v>
      </c>
      <c r="W4" s="35">
        <v>1886</v>
      </c>
      <c r="X4" s="35">
        <v>1908</v>
      </c>
      <c r="Y4" s="35">
        <v>1919</v>
      </c>
      <c r="Z4" s="35">
        <v>1937</v>
      </c>
      <c r="AA4" s="35">
        <v>1958</v>
      </c>
      <c r="AB4" s="35">
        <v>1941</v>
      </c>
      <c r="AC4" s="35">
        <v>1946</v>
      </c>
      <c r="AD4" s="35">
        <v>1945</v>
      </c>
      <c r="AE4" s="35">
        <v>1963</v>
      </c>
      <c r="AF4" s="35">
        <v>1985</v>
      </c>
      <c r="AG4" s="35">
        <v>1995</v>
      </c>
    </row>
    <row r="5" spans="1:33" x14ac:dyDescent="0.35">
      <c r="A5" s="35" t="s">
        <v>242</v>
      </c>
      <c r="B5" s="64"/>
      <c r="C5" s="45">
        <v>17.78</v>
      </c>
      <c r="D5" s="45">
        <v>18.146000000000001</v>
      </c>
      <c r="E5" s="45">
        <v>18.596</v>
      </c>
      <c r="F5" s="45">
        <v>19.103999999999999</v>
      </c>
      <c r="G5" s="45">
        <v>19.84</v>
      </c>
      <c r="H5" s="45">
        <v>20.452000000000002</v>
      </c>
      <c r="I5" s="45">
        <v>21.050999999999998</v>
      </c>
      <c r="J5" s="45">
        <v>21.65</v>
      </c>
      <c r="K5" s="45">
        <v>22.081</v>
      </c>
      <c r="L5" s="45">
        <v>22.5</v>
      </c>
      <c r="M5" s="45">
        <v>22.91</v>
      </c>
      <c r="N5" s="45">
        <v>23.22</v>
      </c>
      <c r="O5" s="45">
        <v>23.45</v>
      </c>
      <c r="P5" s="45">
        <v>23.63</v>
      </c>
      <c r="Q5" s="45">
        <v>23.83</v>
      </c>
      <c r="R5" s="45">
        <v>24.134</v>
      </c>
      <c r="S5" s="45">
        <v>24.57</v>
      </c>
      <c r="T5" s="45">
        <v>24.89</v>
      </c>
      <c r="U5" s="45">
        <v>25.19</v>
      </c>
      <c r="V5" s="45">
        <v>25.6</v>
      </c>
      <c r="W5" s="45">
        <v>25.86</v>
      </c>
      <c r="X5" s="45">
        <v>26.12</v>
      </c>
      <c r="Y5" s="45">
        <v>26.63</v>
      </c>
      <c r="Z5" s="45">
        <v>27.05</v>
      </c>
      <c r="AA5" s="45">
        <v>27.4</v>
      </c>
      <c r="AB5" s="45">
        <v>27.53</v>
      </c>
      <c r="AC5" s="45">
        <v>27.65</v>
      </c>
      <c r="AD5" s="45">
        <v>27.86</v>
      </c>
      <c r="AE5" s="45">
        <v>28.08</v>
      </c>
      <c r="AF5" s="45">
        <v>28.35</v>
      </c>
      <c r="AG5" s="45">
        <v>28.62</v>
      </c>
    </row>
    <row r="6" spans="1:33" x14ac:dyDescent="0.35">
      <c r="A6" s="35"/>
      <c r="B6" s="35"/>
      <c r="C6" s="35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</row>
    <row r="7" spans="1:33" x14ac:dyDescent="0.35">
      <c r="A7" s="35" t="s">
        <v>235</v>
      </c>
      <c r="B7" s="62" t="s">
        <v>264</v>
      </c>
      <c r="C7" s="47" t="s">
        <v>155</v>
      </c>
      <c r="D7" s="87">
        <v>1005.29</v>
      </c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67">
        <v>1044.8399999999999</v>
      </c>
      <c r="Q7" s="67"/>
      <c r="R7" s="67"/>
      <c r="S7" s="67"/>
      <c r="T7" s="67"/>
      <c r="U7" s="67"/>
      <c r="V7" s="67"/>
      <c r="W7" s="67"/>
      <c r="X7" s="67"/>
      <c r="Y7" s="67"/>
      <c r="Z7" s="67"/>
      <c r="AA7" s="68"/>
      <c r="AB7" s="57">
        <v>1044.26</v>
      </c>
      <c r="AC7" s="57">
        <v>1046.72</v>
      </c>
      <c r="AD7" s="57">
        <v>1051.5899999999999</v>
      </c>
      <c r="AE7" s="57">
        <v>1062.74</v>
      </c>
      <c r="AF7" s="57">
        <v>1075</v>
      </c>
      <c r="AG7" s="57"/>
    </row>
    <row r="8" spans="1:33" x14ac:dyDescent="0.35">
      <c r="A8" s="35" t="s">
        <v>265</v>
      </c>
      <c r="B8" s="65"/>
      <c r="C8" s="47"/>
      <c r="D8" s="66">
        <v>679.85</v>
      </c>
      <c r="E8" s="67"/>
      <c r="F8" s="67"/>
      <c r="G8" s="67"/>
      <c r="H8" s="67"/>
      <c r="I8" s="67"/>
      <c r="J8" s="67"/>
      <c r="K8" s="67"/>
      <c r="L8" s="67"/>
      <c r="M8" s="67"/>
      <c r="N8" s="67"/>
      <c r="O8" s="68"/>
      <c r="P8" s="66">
        <v>719.22</v>
      </c>
      <c r="Q8" s="67"/>
      <c r="R8" s="67"/>
      <c r="S8" s="67"/>
      <c r="T8" s="67"/>
      <c r="U8" s="67"/>
      <c r="V8" s="67"/>
      <c r="W8" s="67"/>
      <c r="X8" s="67"/>
      <c r="Y8" s="67"/>
      <c r="Z8" s="67"/>
      <c r="AA8" s="68"/>
      <c r="AB8" s="57">
        <v>50.71</v>
      </c>
      <c r="AC8" s="57">
        <v>54.16</v>
      </c>
      <c r="AD8" s="57">
        <v>55.51</v>
      </c>
      <c r="AE8" s="57">
        <v>61.44</v>
      </c>
      <c r="AF8" s="57">
        <v>66.400000000000006</v>
      </c>
      <c r="AG8" s="57"/>
    </row>
    <row r="9" spans="1:33" x14ac:dyDescent="0.35">
      <c r="A9" s="35" t="s">
        <v>302</v>
      </c>
      <c r="B9" s="63"/>
      <c r="C9" s="47">
        <v>19271</v>
      </c>
      <c r="D9" s="48">
        <v>20371</v>
      </c>
      <c r="E9" s="48">
        <v>20904</v>
      </c>
      <c r="F9" s="48">
        <v>21262</v>
      </c>
      <c r="G9" s="48">
        <v>23332</v>
      </c>
      <c r="H9" s="48">
        <v>23547</v>
      </c>
      <c r="I9" s="48">
        <v>24509</v>
      </c>
      <c r="J9" s="48">
        <v>25323</v>
      </c>
      <c r="K9" s="48">
        <v>25320</v>
      </c>
      <c r="L9" s="48">
        <v>26459</v>
      </c>
      <c r="M9" s="48">
        <v>26400</v>
      </c>
      <c r="N9" s="48">
        <v>25999</v>
      </c>
      <c r="O9" s="48">
        <v>25926</v>
      </c>
      <c r="P9" s="47">
        <v>26632</v>
      </c>
      <c r="Q9" s="47">
        <v>26688</v>
      </c>
      <c r="R9" s="47">
        <v>27269</v>
      </c>
      <c r="S9" s="47">
        <v>28464</v>
      </c>
      <c r="T9" s="47">
        <v>28265</v>
      </c>
      <c r="U9" s="47">
        <v>29361</v>
      </c>
      <c r="V9" s="47">
        <v>29529</v>
      </c>
      <c r="W9" s="47">
        <v>29445</v>
      </c>
      <c r="X9" s="47">
        <v>31002</v>
      </c>
      <c r="Y9" s="47">
        <v>31002</v>
      </c>
      <c r="Z9" s="47">
        <v>29845</v>
      </c>
      <c r="AA9" s="47">
        <v>32087</v>
      </c>
      <c r="AB9" s="47">
        <v>31115</v>
      </c>
      <c r="AC9" s="47">
        <v>30954</v>
      </c>
      <c r="AD9" s="47">
        <v>31781</v>
      </c>
      <c r="AE9" s="47">
        <v>31961</v>
      </c>
      <c r="AF9" s="47">
        <v>32297</v>
      </c>
      <c r="AG9" s="47"/>
    </row>
    <row r="10" spans="1:33" x14ac:dyDescent="0.35">
      <c r="A10" s="35" t="s">
        <v>229</v>
      </c>
      <c r="B10" s="64"/>
      <c r="C10" s="47" t="s">
        <v>155</v>
      </c>
      <c r="D10" s="84">
        <v>1335188</v>
      </c>
      <c r="E10" s="85"/>
      <c r="F10" s="85"/>
      <c r="G10" s="85"/>
      <c r="H10" s="85"/>
      <c r="I10" s="85"/>
      <c r="J10" s="85"/>
      <c r="K10" s="85"/>
      <c r="L10" s="85"/>
      <c r="M10" s="85"/>
      <c r="N10" s="85"/>
      <c r="O10" s="86"/>
      <c r="P10" s="84">
        <v>1510943</v>
      </c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6"/>
      <c r="AB10" s="47">
        <v>1685126</v>
      </c>
      <c r="AC10" s="47">
        <v>1712126</v>
      </c>
      <c r="AD10" s="47">
        <v>1770482</v>
      </c>
      <c r="AE10" s="47">
        <v>1819542</v>
      </c>
      <c r="AF10" s="47">
        <v>1861652</v>
      </c>
      <c r="AG10" s="47"/>
    </row>
    <row r="11" spans="1:33" x14ac:dyDescent="0.3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x14ac:dyDescent="0.35">
      <c r="A12" s="35" t="s">
        <v>230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</row>
    <row r="13" spans="1:33" x14ac:dyDescent="0.3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</row>
    <row r="14" spans="1:33" x14ac:dyDescent="0.35">
      <c r="A14" s="35" t="s">
        <v>301</v>
      </c>
      <c r="B14" s="62" t="s">
        <v>266</v>
      </c>
      <c r="C14" s="69" t="s">
        <v>155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1"/>
      <c r="V14" s="47">
        <v>2010.4352133</v>
      </c>
      <c r="W14" s="47">
        <v>2931.71</v>
      </c>
      <c r="X14" s="47">
        <v>4892.32</v>
      </c>
      <c r="Y14" s="47">
        <v>6564.24</v>
      </c>
      <c r="Z14" s="47">
        <v>9710.8700000000008</v>
      </c>
      <c r="AA14" s="47">
        <v>10620.45</v>
      </c>
      <c r="AB14" s="47">
        <v>12329.05</v>
      </c>
      <c r="AC14" s="47">
        <v>13813.72</v>
      </c>
      <c r="AD14" s="47">
        <v>17857.77</v>
      </c>
      <c r="AE14" s="47">
        <v>23177.31</v>
      </c>
      <c r="AF14" s="47">
        <v>31175.43</v>
      </c>
      <c r="AG14" s="47">
        <v>38286</v>
      </c>
    </row>
    <row r="15" spans="1:33" x14ac:dyDescent="0.35">
      <c r="A15" s="35" t="s">
        <v>236</v>
      </c>
      <c r="B15" s="63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4"/>
      <c r="V15" s="47">
        <v>10212</v>
      </c>
      <c r="W15" s="47">
        <v>14712</v>
      </c>
      <c r="X15" s="47">
        <v>20779</v>
      </c>
      <c r="Y15" s="47">
        <v>24372</v>
      </c>
      <c r="Z15" s="47">
        <v>39851</v>
      </c>
      <c r="AA15" s="47">
        <v>44573</v>
      </c>
      <c r="AB15" s="47">
        <v>50096</v>
      </c>
      <c r="AC15" s="47">
        <v>56749</v>
      </c>
      <c r="AD15" s="47">
        <v>75032</v>
      </c>
      <c r="AE15" s="47">
        <v>94447</v>
      </c>
      <c r="AF15" s="47">
        <v>125539</v>
      </c>
      <c r="AG15" s="47">
        <v>156483</v>
      </c>
    </row>
    <row r="16" spans="1:33" x14ac:dyDescent="0.35">
      <c r="A16" s="35" t="s">
        <v>237</v>
      </c>
      <c r="B16" s="63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4"/>
      <c r="V16" s="47">
        <v>4</v>
      </c>
      <c r="W16" s="47">
        <v>5</v>
      </c>
      <c r="X16" s="47">
        <v>7</v>
      </c>
      <c r="Y16" s="47">
        <v>8</v>
      </c>
      <c r="Z16" s="47">
        <v>11</v>
      </c>
      <c r="AA16" s="47">
        <v>14</v>
      </c>
      <c r="AB16" s="47">
        <v>16</v>
      </c>
      <c r="AC16" s="47">
        <v>21</v>
      </c>
      <c r="AD16" s="49">
        <v>27</v>
      </c>
      <c r="AE16" s="47">
        <v>30</v>
      </c>
      <c r="AF16" s="47">
        <v>33</v>
      </c>
      <c r="AG16" s="47">
        <v>34</v>
      </c>
    </row>
    <row r="17" spans="1:33" x14ac:dyDescent="0.35">
      <c r="A17" s="35" t="s">
        <v>231</v>
      </c>
      <c r="B17" s="64"/>
      <c r="C17" s="75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</row>
    <row r="18" spans="1:33" x14ac:dyDescent="0.3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</row>
    <row r="19" spans="1:33" x14ac:dyDescent="0.35">
      <c r="A19" s="35" t="s">
        <v>238</v>
      </c>
      <c r="B19" s="60"/>
      <c r="C19" s="78" t="s">
        <v>155</v>
      </c>
      <c r="D19" s="79"/>
      <c r="E19" s="79"/>
      <c r="F19" s="79"/>
      <c r="G19" s="79"/>
      <c r="H19" s="79"/>
      <c r="I19" s="79"/>
      <c r="J19" s="79"/>
      <c r="K19" s="79"/>
      <c r="L19" s="79"/>
      <c r="M19" s="79"/>
      <c r="N19" s="79"/>
      <c r="O19" s="79"/>
      <c r="P19" s="79"/>
      <c r="Q19" s="79"/>
      <c r="R19" s="79"/>
      <c r="S19" s="79"/>
      <c r="T19" s="80"/>
      <c r="U19" s="35">
        <v>14.47</v>
      </c>
      <c r="V19" s="35">
        <v>15.19</v>
      </c>
      <c r="W19" s="35">
        <v>15.32</v>
      </c>
      <c r="X19" s="35">
        <v>15.35</v>
      </c>
      <c r="Y19" s="35">
        <v>15.32</v>
      </c>
      <c r="Z19" s="35">
        <v>15.5</v>
      </c>
      <c r="AA19" s="35">
        <v>13.89</v>
      </c>
      <c r="AB19" s="35">
        <v>15.35</v>
      </c>
      <c r="AC19" s="35">
        <v>15.57</v>
      </c>
      <c r="AD19" s="35">
        <v>15.88</v>
      </c>
      <c r="AE19" s="35">
        <v>16.29</v>
      </c>
      <c r="AF19" s="35">
        <v>16.55</v>
      </c>
      <c r="AG19" s="35"/>
    </row>
    <row r="20" spans="1:33" x14ac:dyDescent="0.35">
      <c r="A20" s="35" t="s">
        <v>239</v>
      </c>
      <c r="B20" s="61"/>
      <c r="C20" s="81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3"/>
      <c r="U20" s="35">
        <v>61.14</v>
      </c>
      <c r="V20" s="35">
        <v>64.69</v>
      </c>
      <c r="W20" s="35">
        <v>65.48</v>
      </c>
      <c r="X20" s="35">
        <v>64.88</v>
      </c>
      <c r="Y20" s="35">
        <v>65.7</v>
      </c>
      <c r="Z20" s="35">
        <v>66.53</v>
      </c>
      <c r="AA20" s="35">
        <v>59.84</v>
      </c>
      <c r="AB20" s="35">
        <v>66.569999999999993</v>
      </c>
      <c r="AC20" s="35">
        <v>66.02</v>
      </c>
      <c r="AD20" s="35">
        <v>66.349999999999994</v>
      </c>
      <c r="AE20" s="35">
        <v>69.47</v>
      </c>
      <c r="AF20" s="35">
        <v>70.53</v>
      </c>
      <c r="AG20" s="35"/>
    </row>
  </sheetData>
  <mergeCells count="12">
    <mergeCell ref="B19:B20"/>
    <mergeCell ref="B2:B5"/>
    <mergeCell ref="B7:B10"/>
    <mergeCell ref="P8:AA8"/>
    <mergeCell ref="D8:O8"/>
    <mergeCell ref="B14:B17"/>
    <mergeCell ref="C14:U17"/>
    <mergeCell ref="C19:T20"/>
    <mergeCell ref="P10:AA10"/>
    <mergeCell ref="D10:O10"/>
    <mergeCell ref="P7:AA7"/>
    <mergeCell ref="D7:O7"/>
  </mergeCells>
  <hyperlinks>
    <hyperlink ref="B2" r:id="rId1" xr:uid="{3F2511E2-5345-4696-A6E1-2B48A4EF8B21}"/>
    <hyperlink ref="B7" r:id="rId2" xr:uid="{326DDE7D-9B61-4C7B-A184-1F0291A14240}"/>
    <hyperlink ref="B14" r:id="rId3" xr:uid="{CA7654E3-BA04-4EAA-B079-74555F38E03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491D-B1C0-4BC7-8980-E45A8D5BD9FD}">
  <dimension ref="A1:J228"/>
  <sheetViews>
    <sheetView workbookViewId="0">
      <selection activeCell="F15" sqref="F15"/>
    </sheetView>
  </sheetViews>
  <sheetFormatPr defaultRowHeight="14.5" x14ac:dyDescent="0.35"/>
  <cols>
    <col min="1" max="1" width="45.81640625" customWidth="1"/>
    <col min="2" max="2" width="20.08984375" customWidth="1"/>
    <col min="3" max="4" width="12.26953125" bestFit="1" customWidth="1"/>
    <col min="5" max="5" width="11.54296875" bestFit="1" customWidth="1"/>
    <col min="6" max="6" width="13.81640625" bestFit="1" customWidth="1"/>
    <col min="7" max="7" width="24.7265625" customWidth="1"/>
    <col min="8" max="8" width="12.08984375" bestFit="1" customWidth="1"/>
    <col min="9" max="9" width="26.7265625" bestFit="1" customWidth="1"/>
    <col min="10" max="10" width="6.90625" bestFit="1" customWidth="1"/>
  </cols>
  <sheetData>
    <row r="1" spans="1:9" ht="15" x14ac:dyDescent="0.4">
      <c r="A1" s="8" t="s">
        <v>228</v>
      </c>
      <c r="B1" s="8" t="s">
        <v>227</v>
      </c>
      <c r="C1" s="8"/>
      <c r="D1" s="8"/>
      <c r="E1" s="8"/>
      <c r="F1" s="8"/>
      <c r="G1" s="8"/>
      <c r="H1" s="8"/>
    </row>
    <row r="2" spans="1:9" ht="15" x14ac:dyDescent="0.4">
      <c r="A2" s="50" t="s">
        <v>48</v>
      </c>
      <c r="B2" s="89">
        <v>46113</v>
      </c>
      <c r="C2" s="89">
        <v>46143</v>
      </c>
      <c r="D2" s="89">
        <v>46174</v>
      </c>
      <c r="E2" s="89">
        <v>46204</v>
      </c>
      <c r="F2" s="89">
        <v>46235</v>
      </c>
      <c r="G2" s="89">
        <v>46266</v>
      </c>
      <c r="H2" s="8" t="s">
        <v>243</v>
      </c>
      <c r="I2" t="s">
        <v>300</v>
      </c>
    </row>
    <row r="3" spans="1:9" ht="15" hidden="1" x14ac:dyDescent="0.4">
      <c r="A3" s="35" t="s">
        <v>210</v>
      </c>
      <c r="B3" s="36" t="s">
        <v>155</v>
      </c>
      <c r="C3" s="36" t="s">
        <v>155</v>
      </c>
      <c r="D3" s="36" t="s">
        <v>155</v>
      </c>
      <c r="E3" s="36">
        <v>1</v>
      </c>
      <c r="F3" s="91"/>
      <c r="G3" s="51" t="str">
        <f>VLOOKUP(A3,[1]isc_report1C_2627_300926!$B$10:$J$272,9,FALSE)</f>
        <v>-</v>
      </c>
      <c r="H3" s="90" t="e">
        <f>G3-F3</f>
        <v>#VALUE!</v>
      </c>
    </row>
    <row r="4" spans="1:9" ht="15" x14ac:dyDescent="0.4">
      <c r="A4" s="9" t="s">
        <v>49</v>
      </c>
      <c r="B4" s="51">
        <v>13032121</v>
      </c>
      <c r="C4" s="51">
        <v>13059756</v>
      </c>
      <c r="D4" s="51">
        <v>13053752</v>
      </c>
      <c r="E4" s="51">
        <v>13123871</v>
      </c>
      <c r="F4" s="51">
        <v>13347233</v>
      </c>
      <c r="G4" s="51">
        <v>13448194</v>
      </c>
      <c r="H4" s="90">
        <f>G4-F4</f>
        <v>100961</v>
      </c>
      <c r="I4" s="52">
        <f>G4/$G$225</f>
        <v>0.29830563380259822</v>
      </c>
    </row>
    <row r="5" spans="1:9" ht="15" x14ac:dyDescent="0.4">
      <c r="A5" s="9" t="s">
        <v>50</v>
      </c>
      <c r="B5" s="51">
        <v>6883999</v>
      </c>
      <c r="C5" s="51">
        <v>6847049</v>
      </c>
      <c r="D5" s="51">
        <v>6801078</v>
      </c>
      <c r="E5" s="51">
        <v>6762353</v>
      </c>
      <c r="F5" s="51">
        <v>6796854</v>
      </c>
      <c r="G5" s="51">
        <v>6791541</v>
      </c>
      <c r="H5" s="90">
        <f>G5-F5</f>
        <v>-5313</v>
      </c>
      <c r="I5" s="52">
        <f t="shared" ref="I5:I23" si="0">G5/$G$225</f>
        <v>0.15064884864847516</v>
      </c>
    </row>
    <row r="6" spans="1:9" ht="15" x14ac:dyDescent="0.4">
      <c r="A6" s="9" t="s">
        <v>51</v>
      </c>
      <c r="B6" s="51">
        <v>6743840</v>
      </c>
      <c r="C6" s="51">
        <v>6684223</v>
      </c>
      <c r="D6" s="51">
        <v>6633833</v>
      </c>
      <c r="E6" s="51">
        <v>6634119</v>
      </c>
      <c r="F6" s="51">
        <v>6718755</v>
      </c>
      <c r="G6" s="51">
        <v>6755711</v>
      </c>
      <c r="H6" s="90">
        <f>G6-F6</f>
        <v>36956</v>
      </c>
      <c r="I6" s="52">
        <f t="shared" si="0"/>
        <v>0.14985407346459936</v>
      </c>
    </row>
    <row r="7" spans="1:9" ht="15" x14ac:dyDescent="0.4">
      <c r="A7" s="9" t="s">
        <v>52</v>
      </c>
      <c r="B7" s="51">
        <v>2097085</v>
      </c>
      <c r="C7" s="51">
        <v>2105295</v>
      </c>
      <c r="D7" s="51">
        <v>2121076</v>
      </c>
      <c r="E7" s="51">
        <v>2132824</v>
      </c>
      <c r="F7" s="51">
        <v>2156209</v>
      </c>
      <c r="G7" s="51">
        <f>VLOOKUP(A7,[1]isc_report1C_2627_300926!$B$10:$J$272,9,FALSE)</f>
        <v>2160619</v>
      </c>
      <c r="H7" s="90">
        <f>G7-F7</f>
        <v>4410</v>
      </c>
      <c r="I7" s="52">
        <f t="shared" si="0"/>
        <v>4.7926496316229222E-2</v>
      </c>
    </row>
    <row r="8" spans="1:9" ht="15" x14ac:dyDescent="0.4">
      <c r="A8" s="9" t="s">
        <v>53</v>
      </c>
      <c r="B8" s="51">
        <v>1961826</v>
      </c>
      <c r="C8" s="51">
        <v>1923729</v>
      </c>
      <c r="D8" s="51">
        <v>1887312</v>
      </c>
      <c r="E8" s="51">
        <v>1860879</v>
      </c>
      <c r="F8" s="51">
        <v>1864628</v>
      </c>
      <c r="G8" s="51">
        <f>VLOOKUP(A8,[1]isc_report1C_2627_300926!$B$10:$J$272,9,FALSE)</f>
        <v>1854285</v>
      </c>
      <c r="H8" s="90">
        <f>G8-F8</f>
        <v>-10343</v>
      </c>
      <c r="I8" s="52">
        <f t="shared" si="0"/>
        <v>4.1131445767041343E-2</v>
      </c>
    </row>
    <row r="9" spans="1:9" ht="15" x14ac:dyDescent="0.4">
      <c r="A9" s="9" t="s">
        <v>54</v>
      </c>
      <c r="B9" s="51">
        <v>1385446</v>
      </c>
      <c r="C9" s="51">
        <v>1380379</v>
      </c>
      <c r="D9" s="51">
        <v>1379677</v>
      </c>
      <c r="E9" s="51">
        <v>1382223</v>
      </c>
      <c r="F9" s="51">
        <v>1391663</v>
      </c>
      <c r="G9" s="51">
        <f>VLOOKUP(A9,[1]isc_report1C_2627_300926!$B$10:$J$272,9,FALSE)</f>
        <v>1391840</v>
      </c>
      <c r="H9" s="90">
        <f>G9-F9</f>
        <v>177</v>
      </c>
      <c r="I9" s="52">
        <f t="shared" si="0"/>
        <v>3.0873566618075877E-2</v>
      </c>
    </row>
    <row r="10" spans="1:9" ht="15" x14ac:dyDescent="0.4">
      <c r="A10" s="9" t="s">
        <v>55</v>
      </c>
      <c r="B10" s="51">
        <v>1379984</v>
      </c>
      <c r="C10" s="51">
        <v>1361209</v>
      </c>
      <c r="D10" s="51">
        <v>1344282</v>
      </c>
      <c r="E10" s="51">
        <v>1335113</v>
      </c>
      <c r="F10" s="51">
        <v>1351311</v>
      </c>
      <c r="G10" s="51">
        <f>VLOOKUP(A10,[1]isc_report1C_2627_300926!$B$10:$J$272,9,FALSE)</f>
        <v>1353843</v>
      </c>
      <c r="H10" s="90">
        <f>G10-F10</f>
        <v>2532</v>
      </c>
      <c r="I10" s="52">
        <f t="shared" si="0"/>
        <v>3.0030723395588356E-2</v>
      </c>
    </row>
    <row r="11" spans="1:9" ht="15" x14ac:dyDescent="0.4">
      <c r="A11" s="9" t="s">
        <v>299</v>
      </c>
      <c r="B11" s="51">
        <v>1051951</v>
      </c>
      <c r="C11" s="51">
        <v>1061986</v>
      </c>
      <c r="D11" s="51">
        <v>1073293</v>
      </c>
      <c r="E11" s="51">
        <v>1087459</v>
      </c>
      <c r="F11" s="51">
        <v>1107277</v>
      </c>
      <c r="G11" s="51">
        <f>VLOOKUP(A11,[1]isc_report1C_2627_300926!$B$10:$J$272,9,FALSE)</f>
        <v>1120901</v>
      </c>
      <c r="H11" s="90">
        <f>G11-F11</f>
        <v>13624</v>
      </c>
      <c r="I11" s="52">
        <f t="shared" si="0"/>
        <v>2.4863642154103825E-2</v>
      </c>
    </row>
    <row r="12" spans="1:9" ht="15" x14ac:dyDescent="0.4">
      <c r="A12" s="9" t="s">
        <v>56</v>
      </c>
      <c r="B12" s="51">
        <v>1160277</v>
      </c>
      <c r="C12" s="51">
        <v>1140808</v>
      </c>
      <c r="D12" s="51">
        <v>1117736</v>
      </c>
      <c r="E12" s="51">
        <v>1070185</v>
      </c>
      <c r="F12" s="51">
        <v>1043820</v>
      </c>
      <c r="G12" s="51">
        <f>VLOOKUP(A12,[1]isc_report1C_2627_300926!$B$10:$J$272,9,FALSE)</f>
        <v>1021295</v>
      </c>
      <c r="H12" s="90">
        <f>G12-F12</f>
        <v>-22525</v>
      </c>
      <c r="I12" s="52">
        <f t="shared" si="0"/>
        <v>2.2654198197499569E-2</v>
      </c>
    </row>
    <row r="13" spans="1:9" ht="15" x14ac:dyDescent="0.4">
      <c r="A13" s="9" t="s">
        <v>57</v>
      </c>
      <c r="B13" s="51">
        <v>901868</v>
      </c>
      <c r="C13" s="51">
        <v>893172</v>
      </c>
      <c r="D13" s="51">
        <v>898736</v>
      </c>
      <c r="E13" s="51">
        <v>896988</v>
      </c>
      <c r="F13" s="51">
        <v>906005</v>
      </c>
      <c r="G13" s="51">
        <f>VLOOKUP(A13,[1]isc_report1C_2627_300926!$B$10:$J$272,9,FALSE)</f>
        <v>908987</v>
      </c>
      <c r="H13" s="90">
        <f>G13-F13</f>
        <v>2982</v>
      </c>
      <c r="I13" s="52">
        <f t="shared" si="0"/>
        <v>2.0163000560024815E-2</v>
      </c>
    </row>
    <row r="14" spans="1:9" ht="15" x14ac:dyDescent="0.4">
      <c r="A14" s="9" t="s">
        <v>58</v>
      </c>
      <c r="B14" s="51">
        <v>861706</v>
      </c>
      <c r="C14" s="51">
        <v>846460</v>
      </c>
      <c r="D14" s="51">
        <v>826579</v>
      </c>
      <c r="E14" s="51">
        <v>799855</v>
      </c>
      <c r="F14" s="51">
        <v>790743</v>
      </c>
      <c r="G14" s="51">
        <f>VLOOKUP(A14,[1]isc_report1C_2627_300926!$B$10:$J$272,9,FALSE)</f>
        <v>762793</v>
      </c>
      <c r="H14" s="90">
        <f>G14-F14</f>
        <v>-27950</v>
      </c>
      <c r="I14" s="52">
        <f t="shared" si="0"/>
        <v>1.6920149227858051E-2</v>
      </c>
    </row>
    <row r="15" spans="1:9" ht="15" x14ac:dyDescent="0.4">
      <c r="A15" s="9" t="s">
        <v>59</v>
      </c>
      <c r="B15" s="51">
        <v>693526</v>
      </c>
      <c r="C15" s="51">
        <v>692975</v>
      </c>
      <c r="D15" s="51">
        <v>699103</v>
      </c>
      <c r="E15" s="51">
        <v>705850</v>
      </c>
      <c r="F15" s="51">
        <v>713655</v>
      </c>
      <c r="G15" s="51">
        <f>VLOOKUP(A15,[1]isc_report1C_2627_300926!$B$10:$J$272,9,FALSE)</f>
        <v>718725</v>
      </c>
      <c r="H15" s="90">
        <f>G15-F15</f>
        <v>5070</v>
      </c>
      <c r="I15" s="52">
        <f t="shared" si="0"/>
        <v>1.594264007901525E-2</v>
      </c>
    </row>
    <row r="16" spans="1:9" ht="15" x14ac:dyDescent="0.4">
      <c r="A16" s="9" t="s">
        <v>60</v>
      </c>
      <c r="B16" s="51">
        <v>530958</v>
      </c>
      <c r="C16" s="51">
        <v>528398</v>
      </c>
      <c r="D16" s="51">
        <v>525545</v>
      </c>
      <c r="E16" s="51">
        <v>523228</v>
      </c>
      <c r="F16" s="51">
        <v>527565</v>
      </c>
      <c r="G16" s="51">
        <f>VLOOKUP(A16,[1]isc_report1C_2627_300926!$B$10:$J$272,9,FALSE)</f>
        <v>527503</v>
      </c>
      <c r="H16" s="90">
        <f>G16-F16</f>
        <v>-62</v>
      </c>
      <c r="I16" s="52">
        <f t="shared" si="0"/>
        <v>1.1700985035445798E-2</v>
      </c>
    </row>
    <row r="17" spans="1:10" ht="15" x14ac:dyDescent="0.4">
      <c r="A17" s="9" t="s">
        <v>61</v>
      </c>
      <c r="B17" s="51">
        <v>428671</v>
      </c>
      <c r="C17" s="51">
        <v>427439</v>
      </c>
      <c r="D17" s="51">
        <v>427230</v>
      </c>
      <c r="E17" s="51">
        <v>427976</v>
      </c>
      <c r="F17" s="51">
        <v>429479</v>
      </c>
      <c r="G17" s="51">
        <f>VLOOKUP(A17,[1]isc_report1C_2627_300926!$B$10:$J$272,9,FALSE)</f>
        <v>428144</v>
      </c>
      <c r="H17" s="90">
        <f>G17-F17</f>
        <v>-1335</v>
      </c>
      <c r="I17" s="52">
        <f t="shared" si="0"/>
        <v>9.4970199923335146E-3</v>
      </c>
    </row>
    <row r="18" spans="1:10" ht="15" x14ac:dyDescent="0.4">
      <c r="A18" s="9" t="s">
        <v>62</v>
      </c>
      <c r="B18" s="51">
        <v>341109</v>
      </c>
      <c r="C18" s="51">
        <v>328655</v>
      </c>
      <c r="D18" s="51">
        <v>326236</v>
      </c>
      <c r="E18" s="51">
        <v>333471</v>
      </c>
      <c r="F18" s="51">
        <v>338771</v>
      </c>
      <c r="G18" s="51">
        <f>VLOOKUP(A18,[1]isc_report1C_2627_300926!$B$10:$J$272,9,FALSE)</f>
        <v>340957</v>
      </c>
      <c r="H18" s="90">
        <f>G18-F18</f>
        <v>2186</v>
      </c>
      <c r="I18" s="52">
        <f t="shared" si="0"/>
        <v>7.5630522570117945E-3</v>
      </c>
    </row>
    <row r="19" spans="1:10" ht="15" x14ac:dyDescent="0.4">
      <c r="A19" s="9" t="s">
        <v>63</v>
      </c>
      <c r="B19" s="51">
        <v>331486</v>
      </c>
      <c r="C19" s="51">
        <v>325999</v>
      </c>
      <c r="D19" s="51">
        <v>320693</v>
      </c>
      <c r="E19" s="51">
        <v>315412</v>
      </c>
      <c r="F19" s="51">
        <v>321573</v>
      </c>
      <c r="G19" s="51">
        <f>VLOOKUP(A19,[1]isc_report1C_2627_300926!$B$10:$J$272,9,FALSE)</f>
        <v>321174</v>
      </c>
      <c r="H19" s="90">
        <f>G19-F19</f>
        <v>-399</v>
      </c>
      <c r="I19" s="52">
        <f t="shared" si="0"/>
        <v>7.1242289954261276E-3</v>
      </c>
    </row>
    <row r="20" spans="1:10" ht="15" x14ac:dyDescent="0.4">
      <c r="A20" s="9" t="s">
        <v>244</v>
      </c>
      <c r="B20" s="51">
        <v>150011</v>
      </c>
      <c r="C20" s="51">
        <v>173175</v>
      </c>
      <c r="D20" s="51">
        <v>200917</v>
      </c>
      <c r="E20" s="51">
        <v>228233</v>
      </c>
      <c r="F20" s="51">
        <v>252951</v>
      </c>
      <c r="G20" s="51">
        <f>VLOOKUP(A20,[1]isc_report1C_2627_300926!$B$10:$J$272,9,FALSE)</f>
        <v>281028</v>
      </c>
      <c r="H20" s="90">
        <f>G20-F20</f>
        <v>28077</v>
      </c>
      <c r="I20" s="52">
        <f t="shared" si="0"/>
        <v>6.2337170073748617E-3</v>
      </c>
    </row>
    <row r="21" spans="1:10" ht="15" x14ac:dyDescent="0.4">
      <c r="A21" s="9" t="s">
        <v>64</v>
      </c>
      <c r="B21" s="51">
        <v>250748</v>
      </c>
      <c r="C21" s="51">
        <v>246558</v>
      </c>
      <c r="D21" s="51">
        <v>242557</v>
      </c>
      <c r="E21" s="51">
        <v>235870</v>
      </c>
      <c r="F21" s="51">
        <v>235325</v>
      </c>
      <c r="G21" s="51">
        <f>VLOOKUP(A21,[1]isc_report1C_2627_300926!$B$10:$J$272,9,FALSE)</f>
        <v>242106</v>
      </c>
      <c r="H21" s="90">
        <f>G21-F21</f>
        <v>6781</v>
      </c>
      <c r="I21" s="52">
        <f t="shared" si="0"/>
        <v>5.3703555865874516E-3</v>
      </c>
    </row>
    <row r="22" spans="1:10" ht="15" x14ac:dyDescent="0.4">
      <c r="A22" s="9" t="s">
        <v>66</v>
      </c>
      <c r="B22" s="51">
        <v>216303</v>
      </c>
      <c r="C22" s="51">
        <v>214157</v>
      </c>
      <c r="D22" s="51">
        <v>211409</v>
      </c>
      <c r="E22" s="51">
        <v>209053</v>
      </c>
      <c r="F22" s="51">
        <v>209373</v>
      </c>
      <c r="G22" s="51">
        <f>VLOOKUP(A22,[1]isc_report1C_2627_300926!$B$10:$J$272,9,FALSE)</f>
        <v>207487</v>
      </c>
      <c r="H22" s="90">
        <f>G22-F22</f>
        <v>-1886</v>
      </c>
      <c r="I22" s="52">
        <f t="shared" si="0"/>
        <v>4.6024426061075331E-3</v>
      </c>
    </row>
    <row r="23" spans="1:10" ht="15" x14ac:dyDescent="0.4">
      <c r="A23" s="9" t="s">
        <v>67</v>
      </c>
      <c r="B23" s="51">
        <v>213303</v>
      </c>
      <c r="C23" s="51">
        <v>204418</v>
      </c>
      <c r="D23" s="51">
        <v>200794</v>
      </c>
      <c r="E23" s="51">
        <v>200004</v>
      </c>
      <c r="F23" s="51">
        <v>205141</v>
      </c>
      <c r="G23" s="51">
        <f>VLOOKUP(A23,[1]isc_report1C_2627_300926!$B$10:$J$272,9,FALSE)</f>
        <v>206598</v>
      </c>
      <c r="H23" s="90">
        <f>G23-F23</f>
        <v>1457</v>
      </c>
      <c r="I23" s="52">
        <f t="shared" si="0"/>
        <v>4.5827229539036384E-3</v>
      </c>
      <c r="J23" s="53">
        <f>SUM(I4:I23)</f>
        <v>0.90598894266529972</v>
      </c>
    </row>
    <row r="24" spans="1:10" ht="15" x14ac:dyDescent="0.4">
      <c r="A24" s="9" t="s">
        <v>68</v>
      </c>
      <c r="B24" s="51">
        <v>200810</v>
      </c>
      <c r="C24" s="51">
        <v>196906</v>
      </c>
      <c r="D24" s="51">
        <v>195684</v>
      </c>
      <c r="E24" s="51">
        <v>195119</v>
      </c>
      <c r="F24" s="51">
        <v>196429</v>
      </c>
      <c r="G24" s="51">
        <f>VLOOKUP(A24,[1]isc_report1C_2627_300926!$B$10:$J$272,9,FALSE)</f>
        <v>197380</v>
      </c>
      <c r="H24" s="90">
        <f>G24-F24</f>
        <v>951</v>
      </c>
    </row>
    <row r="25" spans="1:10" ht="15" x14ac:dyDescent="0.4">
      <c r="A25" s="9" t="s">
        <v>65</v>
      </c>
      <c r="B25" s="51">
        <v>232231</v>
      </c>
      <c r="C25" s="51">
        <v>218110</v>
      </c>
      <c r="D25" s="51">
        <v>205640</v>
      </c>
      <c r="E25" s="51">
        <v>197004</v>
      </c>
      <c r="F25" s="51">
        <v>191277</v>
      </c>
      <c r="G25" s="51">
        <f>VLOOKUP(A25,[1]isc_report1C_2627_300926!$B$10:$J$272,9,FALSE)</f>
        <v>183789</v>
      </c>
      <c r="H25" s="90">
        <f>G25-F25</f>
        <v>-7488</v>
      </c>
    </row>
    <row r="26" spans="1:10" ht="15" x14ac:dyDescent="0.4">
      <c r="A26" s="9" t="s">
        <v>69</v>
      </c>
      <c r="B26" s="51">
        <v>160107</v>
      </c>
      <c r="C26" s="51">
        <v>159440</v>
      </c>
      <c r="D26" s="51">
        <v>159037</v>
      </c>
      <c r="E26" s="51">
        <v>158675</v>
      </c>
      <c r="F26" s="51">
        <v>159798</v>
      </c>
      <c r="G26" s="51">
        <f>VLOOKUP(A26,[1]isc_report1C_2627_300926!$B$10:$J$272,9,FALSE)</f>
        <v>159588</v>
      </c>
      <c r="H26" s="90">
        <f>G26-F26</f>
        <v>-210</v>
      </c>
    </row>
    <row r="27" spans="1:10" ht="15" x14ac:dyDescent="0.4">
      <c r="A27" s="9" t="s">
        <v>72</v>
      </c>
      <c r="B27" s="51">
        <v>137916</v>
      </c>
      <c r="C27" s="51">
        <v>139764</v>
      </c>
      <c r="D27" s="51">
        <v>142859</v>
      </c>
      <c r="E27" s="51">
        <v>147559</v>
      </c>
      <c r="F27" s="51">
        <v>150445</v>
      </c>
      <c r="G27" s="51">
        <f>VLOOKUP(A27,[1]isc_report1C_2627_300926!$B$10:$J$272,9,FALSE)</f>
        <v>153962</v>
      </c>
      <c r="H27" s="90">
        <f>G27-F27</f>
        <v>3517</v>
      </c>
    </row>
    <row r="28" spans="1:10" ht="15" x14ac:dyDescent="0.4">
      <c r="A28" s="9" t="s">
        <v>70</v>
      </c>
      <c r="B28" s="51">
        <v>148522</v>
      </c>
      <c r="C28" s="51">
        <v>150229</v>
      </c>
      <c r="D28" s="51">
        <v>150536</v>
      </c>
      <c r="E28" s="51">
        <v>150979</v>
      </c>
      <c r="F28" s="51">
        <v>152440</v>
      </c>
      <c r="G28" s="51">
        <f>VLOOKUP(A28,[1]isc_report1C_2627_300926!$B$10:$J$272,9,FALSE)</f>
        <v>153235</v>
      </c>
      <c r="H28" s="90">
        <f>G28-F28</f>
        <v>795</v>
      </c>
    </row>
    <row r="29" spans="1:10" ht="15" x14ac:dyDescent="0.4">
      <c r="A29" s="9" t="s">
        <v>245</v>
      </c>
      <c r="B29" s="54">
        <v>67432</v>
      </c>
      <c r="C29" s="54">
        <v>78929</v>
      </c>
      <c r="D29" s="54">
        <v>97793</v>
      </c>
      <c r="E29" s="54">
        <v>115409</v>
      </c>
      <c r="F29" s="51">
        <v>134637</v>
      </c>
      <c r="G29" s="51">
        <f>VLOOKUP(A29,[1]isc_report1C_2627_300926!$B$10:$J$272,9,FALSE)</f>
        <v>152255</v>
      </c>
      <c r="H29" s="90">
        <f>G29-F29</f>
        <v>17618</v>
      </c>
    </row>
    <row r="30" spans="1:10" ht="15" x14ac:dyDescent="0.4">
      <c r="A30" s="9" t="s">
        <v>71</v>
      </c>
      <c r="B30" s="51">
        <v>141361</v>
      </c>
      <c r="C30" s="51">
        <v>140472</v>
      </c>
      <c r="D30" s="51">
        <v>139547</v>
      </c>
      <c r="E30" s="51">
        <v>138269</v>
      </c>
      <c r="F30" s="51">
        <v>138989</v>
      </c>
      <c r="G30" s="51">
        <f>VLOOKUP(A30,[1]isc_report1C_2627_300926!$B$10:$J$272,9,FALSE)</f>
        <v>138354</v>
      </c>
      <c r="H30" s="90">
        <f>G30-F30</f>
        <v>-635</v>
      </c>
    </row>
    <row r="31" spans="1:10" ht="15" x14ac:dyDescent="0.4">
      <c r="A31" s="9" t="s">
        <v>74</v>
      </c>
      <c r="B31" s="51">
        <v>135763</v>
      </c>
      <c r="C31" s="51">
        <v>135939</v>
      </c>
      <c r="D31" s="51">
        <v>135568</v>
      </c>
      <c r="E31" s="51">
        <v>134846</v>
      </c>
      <c r="F31" s="51">
        <v>135770</v>
      </c>
      <c r="G31" s="51">
        <f>VLOOKUP(A31,[1]isc_report1C_2627_300926!$B$10:$J$272,9,FALSE)</f>
        <v>135500</v>
      </c>
      <c r="H31" s="90">
        <f>G31-F31</f>
        <v>-270</v>
      </c>
    </row>
    <row r="32" spans="1:10" ht="15" x14ac:dyDescent="0.4">
      <c r="A32" s="9" t="s">
        <v>176</v>
      </c>
      <c r="B32" s="51" t="s">
        <v>132</v>
      </c>
      <c r="C32" s="51">
        <v>129249</v>
      </c>
      <c r="D32" s="51">
        <v>128998</v>
      </c>
      <c r="E32" s="51">
        <v>128725</v>
      </c>
      <c r="F32" s="51">
        <v>130489</v>
      </c>
      <c r="G32" s="51">
        <f>VLOOKUP(A32,[1]isc_report1C_2627_300926!$B$10:$J$272,9,FALSE)</f>
        <v>131766</v>
      </c>
      <c r="H32" s="90">
        <f>G32-F32</f>
        <v>1277</v>
      </c>
    </row>
    <row r="33" spans="1:8" ht="15" x14ac:dyDescent="0.4">
      <c r="A33" s="9" t="s">
        <v>73</v>
      </c>
      <c r="B33" s="51">
        <v>136847</v>
      </c>
      <c r="C33" s="51">
        <v>135953</v>
      </c>
      <c r="D33" s="51">
        <v>134914</v>
      </c>
      <c r="E33" s="51">
        <v>132076</v>
      </c>
      <c r="F33" s="51">
        <v>129369</v>
      </c>
      <c r="G33" s="51">
        <f>VLOOKUP(A33,[1]isc_report1C_2627_300926!$B$10:$J$272,9,FALSE)</f>
        <v>125814</v>
      </c>
      <c r="H33" s="90">
        <f>G33-F33</f>
        <v>-3555</v>
      </c>
    </row>
    <row r="34" spans="1:8" ht="15" x14ac:dyDescent="0.4">
      <c r="A34" s="9" t="s">
        <v>75</v>
      </c>
      <c r="B34" s="51">
        <v>114615</v>
      </c>
      <c r="C34" s="51">
        <v>114277</v>
      </c>
      <c r="D34" s="51">
        <v>113946</v>
      </c>
      <c r="E34" s="51">
        <v>113113</v>
      </c>
      <c r="F34" s="51">
        <v>113671</v>
      </c>
      <c r="G34" s="51">
        <f>VLOOKUP(A34,[1]isc_report1C_2627_300926!$B$10:$J$272,9,FALSE)</f>
        <v>113385</v>
      </c>
      <c r="H34" s="90">
        <f>G34-F34</f>
        <v>-286</v>
      </c>
    </row>
    <row r="35" spans="1:8" ht="15" x14ac:dyDescent="0.4">
      <c r="A35" s="9" t="s">
        <v>162</v>
      </c>
      <c r="B35" s="51" t="s">
        <v>132</v>
      </c>
      <c r="C35" s="51">
        <v>99589</v>
      </c>
      <c r="D35" s="51">
        <v>99205</v>
      </c>
      <c r="E35" s="51">
        <v>98797</v>
      </c>
      <c r="F35" s="51">
        <v>99576</v>
      </c>
      <c r="G35" s="51">
        <f>VLOOKUP(A35,[1]isc_report1C_2627_300926!$B$10:$J$272,9,FALSE)</f>
        <v>99681</v>
      </c>
      <c r="H35" s="90">
        <f>G35-F35</f>
        <v>105</v>
      </c>
    </row>
    <row r="36" spans="1:8" ht="15" x14ac:dyDescent="0.4">
      <c r="A36" s="9" t="s">
        <v>78</v>
      </c>
      <c r="B36" s="51">
        <v>92923</v>
      </c>
      <c r="C36" s="51">
        <v>94318</v>
      </c>
      <c r="D36" s="51">
        <v>94921</v>
      </c>
      <c r="E36" s="51">
        <v>94569</v>
      </c>
      <c r="F36" s="51">
        <v>95661</v>
      </c>
      <c r="G36" s="51">
        <f>VLOOKUP(A36,[1]isc_report1C_2627_300926!$B$10:$J$272,9,FALSE)</f>
        <v>95660</v>
      </c>
      <c r="H36" s="90">
        <f>G36-F36</f>
        <v>-1</v>
      </c>
    </row>
    <row r="37" spans="1:8" ht="15" x14ac:dyDescent="0.4">
      <c r="A37" s="9" t="s">
        <v>77</v>
      </c>
      <c r="B37" s="51">
        <v>93621</v>
      </c>
      <c r="C37" s="51">
        <v>94158</v>
      </c>
      <c r="D37" s="51">
        <v>94434</v>
      </c>
      <c r="E37" s="51">
        <v>94092</v>
      </c>
      <c r="F37" s="51">
        <v>95042</v>
      </c>
      <c r="G37" s="51">
        <f>VLOOKUP(A37,[1]isc_report1C_2627_300926!$B$10:$J$272,9,FALSE)</f>
        <v>94919</v>
      </c>
      <c r="H37" s="90">
        <f>G37-F37</f>
        <v>-123</v>
      </c>
    </row>
    <row r="38" spans="1:8" ht="15" x14ac:dyDescent="0.4">
      <c r="A38" s="9" t="s">
        <v>76</v>
      </c>
      <c r="B38" s="51">
        <v>98418</v>
      </c>
      <c r="C38" s="51">
        <v>97036</v>
      </c>
      <c r="D38" s="51">
        <v>95404</v>
      </c>
      <c r="E38" s="51">
        <v>93846</v>
      </c>
      <c r="F38" s="51">
        <v>93517</v>
      </c>
      <c r="G38" s="51">
        <f>VLOOKUP(A38,[1]isc_report1C_2627_300926!$B$10:$J$272,9,FALSE)</f>
        <v>92194</v>
      </c>
      <c r="H38" s="90">
        <f>G38-F38</f>
        <v>-1323</v>
      </c>
    </row>
    <row r="39" spans="1:8" ht="15" x14ac:dyDescent="0.4">
      <c r="A39" s="9" t="s">
        <v>246</v>
      </c>
      <c r="B39" s="51">
        <v>66717</v>
      </c>
      <c r="C39" s="51">
        <v>70840</v>
      </c>
      <c r="D39" s="51">
        <v>75621</v>
      </c>
      <c r="E39" s="51">
        <v>78995</v>
      </c>
      <c r="F39" s="51">
        <v>80710</v>
      </c>
      <c r="G39" s="51">
        <f>VLOOKUP(A39,[1]isc_report1C_2627_300926!$B$10:$J$272,9,FALSE)</f>
        <v>81373</v>
      </c>
      <c r="H39" s="90">
        <f>G39-F39</f>
        <v>663</v>
      </c>
    </row>
    <row r="40" spans="1:8" ht="15" x14ac:dyDescent="0.4">
      <c r="A40" s="9" t="s">
        <v>79</v>
      </c>
      <c r="B40" s="51">
        <v>78034</v>
      </c>
      <c r="C40" s="51">
        <v>77846</v>
      </c>
      <c r="D40" s="51">
        <v>77775</v>
      </c>
      <c r="E40" s="51">
        <v>77318</v>
      </c>
      <c r="F40" s="51">
        <v>77966</v>
      </c>
      <c r="G40" s="51">
        <f>VLOOKUP(A40,[1]isc_report1C_2627_300926!$B$10:$J$272,9,FALSE)</f>
        <v>78255</v>
      </c>
      <c r="H40" s="90">
        <f>G40-F40</f>
        <v>289</v>
      </c>
    </row>
    <row r="41" spans="1:8" ht="15" x14ac:dyDescent="0.4">
      <c r="A41" s="9" t="s">
        <v>81</v>
      </c>
      <c r="B41" s="51">
        <v>74762</v>
      </c>
      <c r="C41" s="51">
        <v>74247</v>
      </c>
      <c r="D41" s="51">
        <v>73606</v>
      </c>
      <c r="E41" s="51">
        <v>73336</v>
      </c>
      <c r="F41" s="51">
        <v>74320</v>
      </c>
      <c r="G41" s="51">
        <f>VLOOKUP(A41,[1]isc_report1C_2627_300926!$B$10:$J$272,9,FALSE)</f>
        <v>74648</v>
      </c>
      <c r="H41" s="90">
        <f>G41-F41</f>
        <v>328</v>
      </c>
    </row>
    <row r="42" spans="1:8" ht="15" x14ac:dyDescent="0.4">
      <c r="A42" s="9" t="s">
        <v>80</v>
      </c>
      <c r="B42" s="51">
        <v>75976</v>
      </c>
      <c r="C42" s="51">
        <v>74852</v>
      </c>
      <c r="D42" s="51">
        <v>74490</v>
      </c>
      <c r="E42" s="51">
        <v>73093</v>
      </c>
      <c r="F42" s="51">
        <v>73251</v>
      </c>
      <c r="G42" s="51">
        <f>VLOOKUP(A42,[1]isc_report1C_2627_300926!$B$10:$J$272,9,FALSE)</f>
        <v>71090</v>
      </c>
      <c r="H42" s="90">
        <f>G42-F42</f>
        <v>-2161</v>
      </c>
    </row>
    <row r="43" spans="1:8" ht="15" x14ac:dyDescent="0.4">
      <c r="A43" s="9" t="s">
        <v>82</v>
      </c>
      <c r="B43" s="51">
        <v>68417</v>
      </c>
      <c r="C43" s="51">
        <v>68170</v>
      </c>
      <c r="D43" s="51">
        <v>68006</v>
      </c>
      <c r="E43" s="51">
        <v>67870</v>
      </c>
      <c r="F43" s="51">
        <v>68323</v>
      </c>
      <c r="G43" s="51">
        <f>VLOOKUP(A43,[1]isc_report1C_2627_300926!$B$10:$J$272,9,FALSE)</f>
        <v>68735</v>
      </c>
      <c r="H43" s="90">
        <f>G43-F43</f>
        <v>412</v>
      </c>
    </row>
    <row r="44" spans="1:8" ht="15" x14ac:dyDescent="0.4">
      <c r="A44" s="55" t="s">
        <v>83</v>
      </c>
      <c r="B44" s="56">
        <v>60870</v>
      </c>
      <c r="C44" s="56">
        <v>61502</v>
      </c>
      <c r="D44" s="56">
        <v>62948</v>
      </c>
      <c r="E44" s="56">
        <v>64284</v>
      </c>
      <c r="F44" s="56">
        <v>65587</v>
      </c>
      <c r="G44" s="51">
        <f>VLOOKUP(A44,[1]isc_report1C_2627_300926!$B$10:$J$272,9,FALSE)</f>
        <v>66938</v>
      </c>
      <c r="H44" s="90">
        <f>G44-F44</f>
        <v>1351</v>
      </c>
    </row>
    <row r="45" spans="1:8" ht="15" x14ac:dyDescent="0.4">
      <c r="A45" s="9" t="s">
        <v>91</v>
      </c>
      <c r="B45" s="51">
        <v>50875</v>
      </c>
      <c r="C45" s="51">
        <v>55255</v>
      </c>
      <c r="D45" s="51">
        <v>56834</v>
      </c>
      <c r="E45" s="51">
        <v>57087</v>
      </c>
      <c r="F45" s="51">
        <v>59175</v>
      </c>
      <c r="G45" s="51">
        <f>VLOOKUP(A45,[1]isc_report1C_2627_300926!$B$10:$J$272,9,FALSE)</f>
        <v>61352</v>
      </c>
      <c r="H45" s="90">
        <f>G45-F45</f>
        <v>2177</v>
      </c>
    </row>
    <row r="46" spans="1:8" ht="15" x14ac:dyDescent="0.4">
      <c r="A46" s="9" t="s">
        <v>85</v>
      </c>
      <c r="B46" s="51">
        <v>58508</v>
      </c>
      <c r="C46" s="51">
        <v>58384</v>
      </c>
      <c r="D46" s="51">
        <v>58061</v>
      </c>
      <c r="E46" s="51">
        <v>58016</v>
      </c>
      <c r="F46" s="51">
        <v>58790</v>
      </c>
      <c r="G46" s="51">
        <f>VLOOKUP(A46,[1]isc_report1C_2627_300926!$B$10:$J$272,9,FALSE)</f>
        <v>59352</v>
      </c>
      <c r="H46" s="90">
        <f>G46-F46</f>
        <v>562</v>
      </c>
    </row>
    <row r="47" spans="1:8" ht="15" x14ac:dyDescent="0.4">
      <c r="A47" s="9" t="s">
        <v>84</v>
      </c>
      <c r="B47" s="51">
        <v>59213</v>
      </c>
      <c r="C47" s="51">
        <v>59002</v>
      </c>
      <c r="D47" s="51">
        <v>58689</v>
      </c>
      <c r="E47" s="51">
        <v>58303</v>
      </c>
      <c r="F47" s="51">
        <v>58595</v>
      </c>
      <c r="G47" s="51">
        <f>VLOOKUP(A47,[1]isc_report1C_2627_300926!$B$10:$J$272,9,FALSE)</f>
        <v>59097</v>
      </c>
      <c r="H47" s="90">
        <f>G47-F47</f>
        <v>502</v>
      </c>
    </row>
    <row r="48" spans="1:8" ht="15" x14ac:dyDescent="0.4">
      <c r="A48" s="9" t="s">
        <v>86</v>
      </c>
      <c r="B48" s="51">
        <v>58332</v>
      </c>
      <c r="C48" s="51">
        <v>57609</v>
      </c>
      <c r="D48" s="51">
        <v>58672</v>
      </c>
      <c r="E48" s="51">
        <v>57893</v>
      </c>
      <c r="F48" s="51">
        <v>57746</v>
      </c>
      <c r="G48" s="51">
        <f>VLOOKUP(A48,[1]isc_report1C_2627_300926!$B$10:$J$272,9,FALSE)</f>
        <v>58515</v>
      </c>
      <c r="H48" s="90">
        <f>G48-F48</f>
        <v>769</v>
      </c>
    </row>
    <row r="49" spans="1:8" ht="15" x14ac:dyDescent="0.4">
      <c r="A49" s="9" t="s">
        <v>89</v>
      </c>
      <c r="B49" s="51">
        <v>53173</v>
      </c>
      <c r="C49" s="51">
        <v>53485</v>
      </c>
      <c r="D49" s="51">
        <v>53914</v>
      </c>
      <c r="E49" s="51">
        <v>54143</v>
      </c>
      <c r="F49" s="51">
        <v>54730</v>
      </c>
      <c r="G49" s="51">
        <f>VLOOKUP(A49,[1]isc_report1C_2627_300926!$B$10:$J$272,9,FALSE)</f>
        <v>55152</v>
      </c>
      <c r="H49" s="90">
        <f>G49-F49</f>
        <v>422</v>
      </c>
    </row>
    <row r="50" spans="1:8" ht="15" x14ac:dyDescent="0.4">
      <c r="A50" s="9" t="s">
        <v>88</v>
      </c>
      <c r="B50" s="51">
        <v>53907</v>
      </c>
      <c r="C50" s="51">
        <v>53754</v>
      </c>
      <c r="D50" s="51">
        <v>53467</v>
      </c>
      <c r="E50" s="51">
        <v>53024</v>
      </c>
      <c r="F50" s="51">
        <v>53609</v>
      </c>
      <c r="G50" s="51">
        <f>VLOOKUP(A50,[1]isc_report1C_2627_300926!$B$10:$J$272,9,FALSE)</f>
        <v>55139</v>
      </c>
      <c r="H50" s="90">
        <f>G50-F50</f>
        <v>1530</v>
      </c>
    </row>
    <row r="51" spans="1:8" ht="15" x14ac:dyDescent="0.4">
      <c r="A51" s="9" t="s">
        <v>93</v>
      </c>
      <c r="B51" s="51">
        <v>50359</v>
      </c>
      <c r="C51" s="51">
        <v>49201</v>
      </c>
      <c r="D51" s="51">
        <v>48322</v>
      </c>
      <c r="E51" s="51">
        <v>52198</v>
      </c>
      <c r="F51" s="51">
        <v>53166</v>
      </c>
      <c r="G51" s="51">
        <f>VLOOKUP(A51,[1]isc_report1C_2627_300926!$B$10:$J$272,9,FALSE)</f>
        <v>52444</v>
      </c>
      <c r="H51" s="90">
        <f>G51-F51</f>
        <v>-722</v>
      </c>
    </row>
    <row r="52" spans="1:8" ht="15" x14ac:dyDescent="0.4">
      <c r="A52" s="9" t="s">
        <v>87</v>
      </c>
      <c r="B52" s="51">
        <v>54618</v>
      </c>
      <c r="C52" s="51">
        <v>54061</v>
      </c>
      <c r="D52" s="51">
        <v>53628</v>
      </c>
      <c r="E52" s="51">
        <v>52829</v>
      </c>
      <c r="F52" s="51">
        <v>52849</v>
      </c>
      <c r="G52" s="51">
        <f>VLOOKUP(A52,[1]isc_report1C_2627_300926!$B$10:$J$272,9,FALSE)</f>
        <v>52333</v>
      </c>
      <c r="H52" s="90">
        <f>G52-F52</f>
        <v>-516</v>
      </c>
    </row>
    <row r="53" spans="1:8" ht="15" x14ac:dyDescent="0.4">
      <c r="A53" s="9" t="s">
        <v>158</v>
      </c>
      <c r="B53" s="51" t="s">
        <v>132</v>
      </c>
      <c r="C53" s="51">
        <v>49852</v>
      </c>
      <c r="D53" s="51">
        <v>49948</v>
      </c>
      <c r="E53" s="51">
        <v>49825</v>
      </c>
      <c r="F53" s="51">
        <v>50582</v>
      </c>
      <c r="G53" s="51">
        <f>VLOOKUP(A53,[1]isc_report1C_2627_300926!$B$10:$J$272,9,FALSE)</f>
        <v>51226</v>
      </c>
      <c r="H53" s="90">
        <f>G53-F53</f>
        <v>644</v>
      </c>
    </row>
    <row r="54" spans="1:8" ht="15" x14ac:dyDescent="0.4">
      <c r="A54" s="9" t="s">
        <v>92</v>
      </c>
      <c r="B54" s="51">
        <v>50631</v>
      </c>
      <c r="C54" s="51">
        <v>50328</v>
      </c>
      <c r="D54" s="51">
        <v>50212</v>
      </c>
      <c r="E54" s="51">
        <v>50340</v>
      </c>
      <c r="F54" s="51">
        <v>50474</v>
      </c>
      <c r="G54" s="51">
        <f>VLOOKUP(A54,[1]isc_report1C_2627_300926!$B$10:$J$272,9,FALSE)</f>
        <v>50986</v>
      </c>
      <c r="H54" s="90">
        <f>G54-F54</f>
        <v>512</v>
      </c>
    </row>
    <row r="55" spans="1:8" ht="15" x14ac:dyDescent="0.4">
      <c r="A55" s="9" t="s">
        <v>90</v>
      </c>
      <c r="B55" s="51">
        <v>52199</v>
      </c>
      <c r="C55" s="51">
        <v>51417</v>
      </c>
      <c r="D55" s="51">
        <v>50618</v>
      </c>
      <c r="E55" s="51">
        <v>50066</v>
      </c>
      <c r="F55" s="51">
        <v>50324</v>
      </c>
      <c r="G55" s="51">
        <f>VLOOKUP(A55,[1]isc_report1C_2627_300926!$B$10:$J$272,9,FALSE)</f>
        <v>50148</v>
      </c>
      <c r="H55" s="90">
        <f>G55-F55</f>
        <v>-176</v>
      </c>
    </row>
    <row r="56" spans="1:8" ht="15" x14ac:dyDescent="0.4">
      <c r="A56" s="9" t="s">
        <v>247</v>
      </c>
      <c r="B56" s="51">
        <v>49090</v>
      </c>
      <c r="C56" s="51">
        <v>48841</v>
      </c>
      <c r="D56" s="51">
        <v>0</v>
      </c>
      <c r="E56" s="51">
        <v>48520</v>
      </c>
      <c r="F56" s="51">
        <v>48869</v>
      </c>
      <c r="G56" s="51">
        <f>VLOOKUP(A56,[1]isc_report1C_2627_300926!$B$10:$J$272,9,FALSE)</f>
        <v>48610</v>
      </c>
      <c r="H56" s="90">
        <f>G56-F56</f>
        <v>-259</v>
      </c>
    </row>
    <row r="57" spans="1:8" ht="15" x14ac:dyDescent="0.4">
      <c r="A57" s="9" t="s">
        <v>94</v>
      </c>
      <c r="B57" s="51">
        <v>46756</v>
      </c>
      <c r="C57" s="51">
        <v>46908</v>
      </c>
      <c r="D57" s="51">
        <v>46989</v>
      </c>
      <c r="E57" s="51">
        <v>46717</v>
      </c>
      <c r="F57" s="51">
        <v>47246</v>
      </c>
      <c r="G57" s="51">
        <f>VLOOKUP(A57,[1]isc_report1C_2627_300926!$B$10:$J$272,9,FALSE)</f>
        <v>47481</v>
      </c>
      <c r="H57" s="90">
        <f>G57-F57</f>
        <v>235</v>
      </c>
    </row>
    <row r="58" spans="1:8" ht="15" x14ac:dyDescent="0.4">
      <c r="A58" s="9" t="s">
        <v>95</v>
      </c>
      <c r="B58" s="51">
        <v>45080</v>
      </c>
      <c r="C58" s="51">
        <v>45054</v>
      </c>
      <c r="D58" s="51">
        <v>45034</v>
      </c>
      <c r="E58" s="51">
        <v>44833</v>
      </c>
      <c r="F58" s="51">
        <v>45039</v>
      </c>
      <c r="G58" s="51">
        <f>VLOOKUP(A58,[1]isc_report1C_2627_300926!$B$10:$J$272,9,FALSE)</f>
        <v>45137</v>
      </c>
      <c r="H58" s="90">
        <f>G58-F58</f>
        <v>98</v>
      </c>
    </row>
    <row r="59" spans="1:8" ht="15" x14ac:dyDescent="0.4">
      <c r="A59" s="9" t="s">
        <v>248</v>
      </c>
      <c r="B59" s="51" t="s">
        <v>132</v>
      </c>
      <c r="C59" s="51">
        <v>13659</v>
      </c>
      <c r="D59" s="51">
        <v>17543</v>
      </c>
      <c r="E59" s="51">
        <v>32150</v>
      </c>
      <c r="F59" s="51">
        <v>41057</v>
      </c>
      <c r="G59" s="51">
        <f>VLOOKUP(A59,[1]isc_report1C_2627_300926!$B$10:$J$272,9,FALSE)</f>
        <v>44365</v>
      </c>
      <c r="H59" s="90">
        <f>G59-F59</f>
        <v>3308</v>
      </c>
    </row>
    <row r="60" spans="1:8" ht="15" x14ac:dyDescent="0.4">
      <c r="A60" s="9" t="s">
        <v>96</v>
      </c>
      <c r="B60" s="51">
        <v>38116</v>
      </c>
      <c r="C60" s="51">
        <v>38450</v>
      </c>
      <c r="D60" s="51">
        <v>38969</v>
      </c>
      <c r="E60" s="51">
        <v>39578</v>
      </c>
      <c r="F60" s="51">
        <v>40239</v>
      </c>
      <c r="G60" s="51">
        <f>VLOOKUP(A60,[1]isc_report1C_2627_300926!$B$10:$J$272,9,FALSE)</f>
        <v>40795</v>
      </c>
      <c r="H60" s="90">
        <f>G60-F60</f>
        <v>556</v>
      </c>
    </row>
    <row r="61" spans="1:8" ht="15" x14ac:dyDescent="0.4">
      <c r="A61" s="9" t="s">
        <v>97</v>
      </c>
      <c r="B61" s="51">
        <v>30548</v>
      </c>
      <c r="C61" s="51">
        <v>31296</v>
      </c>
      <c r="D61" s="51">
        <v>32576</v>
      </c>
      <c r="E61" s="51">
        <v>33761</v>
      </c>
      <c r="F61" s="51">
        <v>36105</v>
      </c>
      <c r="G61" s="51">
        <f>VLOOKUP(A61,[1]isc_report1C_2627_300926!$B$10:$J$272,9,FALSE)</f>
        <v>37096</v>
      </c>
      <c r="H61" s="90">
        <f>G61-F61</f>
        <v>991</v>
      </c>
    </row>
    <row r="62" spans="1:8" ht="15" x14ac:dyDescent="0.4">
      <c r="A62" s="9" t="s">
        <v>215</v>
      </c>
      <c r="B62" s="51" t="s">
        <v>155</v>
      </c>
      <c r="C62" s="51" t="s">
        <v>155</v>
      </c>
      <c r="D62" s="51" t="s">
        <v>155</v>
      </c>
      <c r="E62" s="51">
        <v>32386</v>
      </c>
      <c r="F62" s="51">
        <v>32963</v>
      </c>
      <c r="G62" s="51">
        <f>VLOOKUP(A62,[1]isc_report1C_2627_300926!$B$10:$J$272,9,FALSE)</f>
        <v>33451</v>
      </c>
      <c r="H62" s="90">
        <f>G62-F62</f>
        <v>488</v>
      </c>
    </row>
    <row r="63" spans="1:8" ht="15" x14ac:dyDescent="0.4">
      <c r="A63" s="9" t="s">
        <v>179</v>
      </c>
      <c r="B63" s="51" t="s">
        <v>132</v>
      </c>
      <c r="C63" s="51">
        <v>32971</v>
      </c>
      <c r="D63" s="51">
        <v>32905</v>
      </c>
      <c r="E63" s="51">
        <v>32490</v>
      </c>
      <c r="F63" s="51">
        <v>32632</v>
      </c>
      <c r="G63" s="51">
        <f>VLOOKUP(A63,[1]isc_report1C_2627_300926!$B$10:$J$272,9,FALSE)</f>
        <v>32634</v>
      </c>
      <c r="H63" s="90">
        <f>G63-F63</f>
        <v>2</v>
      </c>
    </row>
    <row r="64" spans="1:8" ht="15" x14ac:dyDescent="0.4">
      <c r="A64" s="9" t="s">
        <v>220</v>
      </c>
      <c r="B64" s="51" t="s">
        <v>155</v>
      </c>
      <c r="C64" s="51" t="s">
        <v>155</v>
      </c>
      <c r="D64" s="51" t="s">
        <v>155</v>
      </c>
      <c r="E64" s="51">
        <v>30834</v>
      </c>
      <c r="F64" s="51">
        <v>31238</v>
      </c>
      <c r="G64" s="51">
        <f>VLOOKUP(A64,[1]isc_report1C_2627_300926!$B$10:$J$272,9,FALSE)</f>
        <v>31626</v>
      </c>
      <c r="H64" s="90">
        <f>G64-F64</f>
        <v>388</v>
      </c>
    </row>
    <row r="65" spans="1:8" ht="15" x14ac:dyDescent="0.4">
      <c r="A65" s="9" t="s">
        <v>157</v>
      </c>
      <c r="B65" s="51" t="s">
        <v>132</v>
      </c>
      <c r="C65" s="51">
        <v>32514</v>
      </c>
      <c r="D65" s="51">
        <v>34550</v>
      </c>
      <c r="E65" s="51">
        <v>34741</v>
      </c>
      <c r="F65" s="51">
        <v>34054</v>
      </c>
      <c r="G65" s="51">
        <f>VLOOKUP(A65,[1]isc_report1C_2627_300926!$B$10:$J$272,9,FALSE)</f>
        <v>31190</v>
      </c>
      <c r="H65" s="90">
        <f>G65-F65</f>
        <v>-2864</v>
      </c>
    </row>
    <row r="66" spans="1:8" ht="15" x14ac:dyDescent="0.4">
      <c r="A66" s="9" t="s">
        <v>197</v>
      </c>
      <c r="B66" s="51" t="s">
        <v>132</v>
      </c>
      <c r="C66" s="51" t="s">
        <v>132</v>
      </c>
      <c r="D66" s="51">
        <v>26275</v>
      </c>
      <c r="E66" s="51">
        <v>26238</v>
      </c>
      <c r="F66" s="51">
        <v>26545</v>
      </c>
      <c r="G66" s="51">
        <f>VLOOKUP(A66,[1]isc_report1C_2627_300926!$B$10:$J$272,9,FALSE)</f>
        <v>26636</v>
      </c>
      <c r="H66" s="90">
        <f>G66-F66</f>
        <v>91</v>
      </c>
    </row>
    <row r="67" spans="1:8" ht="15" x14ac:dyDescent="0.4">
      <c r="A67" s="9" t="s">
        <v>98</v>
      </c>
      <c r="B67" s="51">
        <v>26956</v>
      </c>
      <c r="C67" s="51">
        <v>26821</v>
      </c>
      <c r="D67" s="51">
        <v>26470</v>
      </c>
      <c r="E67" s="51">
        <v>26373</v>
      </c>
      <c r="F67" s="51">
        <v>26468</v>
      </c>
      <c r="G67" s="51">
        <f>VLOOKUP(A67,[1]isc_report1C_2627_300926!$B$10:$J$272,9,FALSE)</f>
        <v>26101</v>
      </c>
      <c r="H67" s="90">
        <f>G67-F67</f>
        <v>-367</v>
      </c>
    </row>
    <row r="68" spans="1:8" ht="15" x14ac:dyDescent="0.4">
      <c r="A68" s="9" t="s">
        <v>100</v>
      </c>
      <c r="B68" s="51">
        <v>26334</v>
      </c>
      <c r="C68" s="51">
        <v>26111</v>
      </c>
      <c r="D68" s="51">
        <v>25924</v>
      </c>
      <c r="E68" s="51">
        <v>25634</v>
      </c>
      <c r="F68" s="51">
        <v>25716</v>
      </c>
      <c r="G68" s="51">
        <f>VLOOKUP(A68,[1]isc_report1C_2627_300926!$B$10:$J$272,9,FALSE)</f>
        <v>25681</v>
      </c>
      <c r="H68" s="90">
        <f>G68-F68</f>
        <v>-35</v>
      </c>
    </row>
    <row r="69" spans="1:8" ht="15" x14ac:dyDescent="0.4">
      <c r="A69" s="9" t="s">
        <v>99</v>
      </c>
      <c r="B69" s="51">
        <v>26625</v>
      </c>
      <c r="C69" s="51">
        <v>26193</v>
      </c>
      <c r="D69" s="51">
        <v>25712</v>
      </c>
      <c r="E69" s="51">
        <v>25161</v>
      </c>
      <c r="F69" s="51">
        <v>25149</v>
      </c>
      <c r="G69" s="51">
        <f>VLOOKUP(A69,[1]isc_report1C_2627_300926!$B$10:$J$272,9,FALSE)</f>
        <v>24748</v>
      </c>
      <c r="H69" s="90">
        <f>G69-F69</f>
        <v>-401</v>
      </c>
    </row>
    <row r="70" spans="1:8" ht="15" x14ac:dyDescent="0.4">
      <c r="A70" s="9" t="s">
        <v>101</v>
      </c>
      <c r="B70" s="51">
        <v>24548</v>
      </c>
      <c r="C70" s="51">
        <v>24268</v>
      </c>
      <c r="D70" s="51">
        <v>24232</v>
      </c>
      <c r="E70" s="51">
        <v>23651</v>
      </c>
      <c r="F70" s="51">
        <v>23567</v>
      </c>
      <c r="G70" s="51">
        <f>VLOOKUP(A70,[1]isc_report1C_2627_300926!$B$10:$J$272,9,FALSE)</f>
        <v>23178</v>
      </c>
      <c r="H70" s="90">
        <f>G70-F70</f>
        <v>-389</v>
      </c>
    </row>
    <row r="71" spans="1:8" ht="15" x14ac:dyDescent="0.4">
      <c r="A71" s="9" t="s">
        <v>186</v>
      </c>
      <c r="B71" s="51" t="s">
        <v>132</v>
      </c>
      <c r="C71" s="51" t="s">
        <v>132</v>
      </c>
      <c r="D71" s="51">
        <v>22385</v>
      </c>
      <c r="E71" s="51">
        <v>22132</v>
      </c>
      <c r="F71" s="51">
        <v>22054</v>
      </c>
      <c r="G71" s="51">
        <f>VLOOKUP(A71,[1]isc_report1C_2627_300926!$B$10:$J$272,9,FALSE)</f>
        <v>21881</v>
      </c>
      <c r="H71" s="90">
        <f>G71-F71</f>
        <v>-173</v>
      </c>
    </row>
    <row r="72" spans="1:8" ht="15" x14ac:dyDescent="0.4">
      <c r="A72" s="9" t="s">
        <v>102</v>
      </c>
      <c r="B72" s="51">
        <v>23795</v>
      </c>
      <c r="C72" s="51">
        <v>23274</v>
      </c>
      <c r="D72" s="51">
        <v>22849</v>
      </c>
      <c r="E72" s="51">
        <v>22126</v>
      </c>
      <c r="F72" s="51">
        <v>21757</v>
      </c>
      <c r="G72" s="51">
        <f>VLOOKUP(A72,[1]isc_report1C_2627_300926!$B$10:$J$272,9,FALSE)</f>
        <v>21174</v>
      </c>
      <c r="H72" s="90">
        <f>G72-F72</f>
        <v>-583</v>
      </c>
    </row>
    <row r="73" spans="1:8" ht="15" x14ac:dyDescent="0.4">
      <c r="A73" s="9" t="s">
        <v>103</v>
      </c>
      <c r="B73" s="51">
        <v>20524</v>
      </c>
      <c r="C73" s="51">
        <v>20482</v>
      </c>
      <c r="D73" s="51">
        <v>20459</v>
      </c>
      <c r="E73" s="51">
        <v>20346</v>
      </c>
      <c r="F73" s="51">
        <v>20500</v>
      </c>
      <c r="G73" s="51">
        <f>VLOOKUP(A73,[1]isc_report1C_2627_300926!$B$10:$J$272,9,FALSE)</f>
        <v>20585</v>
      </c>
      <c r="H73" s="90">
        <f>G73-F73</f>
        <v>85</v>
      </c>
    </row>
    <row r="74" spans="1:8" ht="15" x14ac:dyDescent="0.4">
      <c r="A74" s="9" t="s">
        <v>104</v>
      </c>
      <c r="B74" s="51">
        <v>20087</v>
      </c>
      <c r="C74" s="51">
        <v>20054</v>
      </c>
      <c r="D74" s="51">
        <v>20101</v>
      </c>
      <c r="E74" s="51">
        <v>19722</v>
      </c>
      <c r="F74" s="51">
        <v>19842</v>
      </c>
      <c r="G74" s="51">
        <f>VLOOKUP(A74,[1]isc_report1C_2627_300926!$B$10:$J$272,9,FALSE)</f>
        <v>19968</v>
      </c>
      <c r="H74" s="90">
        <f>G74-F74</f>
        <v>126</v>
      </c>
    </row>
    <row r="75" spans="1:8" ht="15" x14ac:dyDescent="0.4">
      <c r="A75" s="9" t="s">
        <v>105</v>
      </c>
      <c r="B75" s="51">
        <v>18607</v>
      </c>
      <c r="C75" s="51">
        <v>18697</v>
      </c>
      <c r="D75" s="51">
        <v>18682</v>
      </c>
      <c r="E75" s="51">
        <v>18541</v>
      </c>
      <c r="F75" s="51">
        <v>18705</v>
      </c>
      <c r="G75" s="51">
        <f>VLOOKUP(A75,[1]isc_report1C_2627_300926!$B$10:$J$272,9,FALSE)</f>
        <v>18702</v>
      </c>
      <c r="H75" s="90">
        <f>G75-F75</f>
        <v>-3</v>
      </c>
    </row>
    <row r="76" spans="1:8" ht="15" x14ac:dyDescent="0.4">
      <c r="A76" s="9" t="s">
        <v>106</v>
      </c>
      <c r="B76" s="51">
        <v>17361</v>
      </c>
      <c r="C76" s="51">
        <v>17157</v>
      </c>
      <c r="D76" s="51">
        <v>17090</v>
      </c>
      <c r="E76" s="51">
        <v>17099</v>
      </c>
      <c r="F76" s="51">
        <v>17413</v>
      </c>
      <c r="G76" s="51">
        <f>VLOOKUP(A76,[1]isc_report1C_2627_300926!$B$10:$J$272,9,FALSE)</f>
        <v>17494</v>
      </c>
      <c r="H76" s="90">
        <f>G76-F76</f>
        <v>81</v>
      </c>
    </row>
    <row r="77" spans="1:8" ht="15" x14ac:dyDescent="0.4">
      <c r="A77" s="9" t="s">
        <v>109</v>
      </c>
      <c r="B77" s="51">
        <v>15524</v>
      </c>
      <c r="C77" s="51">
        <v>15041</v>
      </c>
      <c r="D77" s="51">
        <v>14722</v>
      </c>
      <c r="E77" s="51">
        <v>14436</v>
      </c>
      <c r="F77" s="51">
        <v>15283</v>
      </c>
      <c r="G77" s="51">
        <f>VLOOKUP(A77,[1]isc_report1C_2627_300926!$B$10:$J$272,9,FALSE)</f>
        <v>16385</v>
      </c>
      <c r="H77" s="90">
        <f>G77-F77</f>
        <v>1102</v>
      </c>
    </row>
    <row r="78" spans="1:8" ht="15" x14ac:dyDescent="0.4">
      <c r="A78" s="9" t="s">
        <v>107</v>
      </c>
      <c r="B78" s="51">
        <v>17123</v>
      </c>
      <c r="C78" s="51">
        <v>16921</v>
      </c>
      <c r="D78" s="51">
        <v>16709</v>
      </c>
      <c r="E78" s="51">
        <v>16437</v>
      </c>
      <c r="F78" s="51">
        <v>16321</v>
      </c>
      <c r="G78" s="51">
        <f>VLOOKUP(A78,[1]isc_report1C_2627_300926!$B$10:$J$272,9,FALSE)</f>
        <v>16145</v>
      </c>
      <c r="H78" s="90">
        <f>G78-F78</f>
        <v>-176</v>
      </c>
    </row>
    <row r="79" spans="1:8" ht="15" x14ac:dyDescent="0.4">
      <c r="A79" s="9" t="s">
        <v>218</v>
      </c>
      <c r="B79" s="51" t="s">
        <v>155</v>
      </c>
      <c r="C79" s="51" t="s">
        <v>155</v>
      </c>
      <c r="D79" s="51" t="s">
        <v>155</v>
      </c>
      <c r="E79" s="51">
        <v>15010</v>
      </c>
      <c r="F79" s="51">
        <v>15289</v>
      </c>
      <c r="G79" s="51">
        <f>VLOOKUP(A79,[1]isc_report1C_2627_300926!$B$10:$J$272,9,FALSE)</f>
        <v>15487</v>
      </c>
      <c r="H79" s="90">
        <f>G79-F79</f>
        <v>198</v>
      </c>
    </row>
    <row r="80" spans="1:8" ht="15" x14ac:dyDescent="0.4">
      <c r="A80" s="9" t="s">
        <v>110</v>
      </c>
      <c r="B80" s="51">
        <v>14335</v>
      </c>
      <c r="C80" s="51">
        <v>14367</v>
      </c>
      <c r="D80" s="51">
        <v>14323</v>
      </c>
      <c r="E80" s="51">
        <v>14579</v>
      </c>
      <c r="F80" s="51">
        <v>14951</v>
      </c>
      <c r="G80" s="51">
        <f>VLOOKUP(A80,[1]isc_report1C_2627_300926!$B$10:$J$272,9,FALSE)</f>
        <v>15159</v>
      </c>
      <c r="H80" s="90">
        <f>G80-F80</f>
        <v>208</v>
      </c>
    </row>
    <row r="81" spans="1:8" ht="15" x14ac:dyDescent="0.4">
      <c r="A81" s="9" t="s">
        <v>198</v>
      </c>
      <c r="B81" s="51" t="s">
        <v>132</v>
      </c>
      <c r="C81" s="51" t="s">
        <v>132</v>
      </c>
      <c r="D81" s="51">
        <v>16646</v>
      </c>
      <c r="E81" s="51">
        <v>15891</v>
      </c>
      <c r="F81" s="51">
        <v>15353</v>
      </c>
      <c r="G81" s="51">
        <f>VLOOKUP(A81,[1]isc_report1C_2627_300926!$B$10:$J$272,9,FALSE)</f>
        <v>14532</v>
      </c>
      <c r="H81" s="90">
        <f>G81-F81</f>
        <v>-821</v>
      </c>
    </row>
    <row r="82" spans="1:8" ht="15" x14ac:dyDescent="0.4">
      <c r="A82" s="9" t="s">
        <v>181</v>
      </c>
      <c r="B82" s="51">
        <v>14900</v>
      </c>
      <c r="C82" s="51">
        <v>14915</v>
      </c>
      <c r="D82" s="51">
        <v>15026</v>
      </c>
      <c r="E82" s="51">
        <v>14948</v>
      </c>
      <c r="F82" s="51">
        <v>14943</v>
      </c>
      <c r="G82" s="51">
        <f>VLOOKUP(A82,[1]isc_report1C_2627_300926!$B$10:$J$272,9,FALSE)</f>
        <v>14483</v>
      </c>
      <c r="H82" s="90">
        <f>G82-F82</f>
        <v>-460</v>
      </c>
    </row>
    <row r="83" spans="1:8" ht="15" x14ac:dyDescent="0.4">
      <c r="A83" s="9" t="s">
        <v>224</v>
      </c>
      <c r="B83" s="51" t="s">
        <v>155</v>
      </c>
      <c r="C83" s="51" t="s">
        <v>155</v>
      </c>
      <c r="D83" s="51" t="s">
        <v>155</v>
      </c>
      <c r="E83" s="51">
        <v>13966</v>
      </c>
      <c r="F83" s="51">
        <v>14188</v>
      </c>
      <c r="G83" s="51">
        <f>VLOOKUP(A83,[1]isc_report1C_2627_300926!$B$10:$J$272,9,FALSE)</f>
        <v>14358</v>
      </c>
      <c r="H83" s="90">
        <f>G83-F83</f>
        <v>170</v>
      </c>
    </row>
    <row r="84" spans="1:8" ht="15" x14ac:dyDescent="0.4">
      <c r="A84" s="9" t="s">
        <v>250</v>
      </c>
      <c r="B84" s="51" t="s">
        <v>155</v>
      </c>
      <c r="C84" s="51" t="s">
        <v>155</v>
      </c>
      <c r="D84" s="51" t="s">
        <v>155</v>
      </c>
      <c r="E84" s="51" t="s">
        <v>155</v>
      </c>
      <c r="F84" s="51">
        <v>14234</v>
      </c>
      <c r="G84" s="51">
        <f>VLOOKUP(A84,[1]isc_report1C_2627_300926!$B$10:$J$272,9,FALSE)</f>
        <v>14283</v>
      </c>
      <c r="H84" s="90">
        <f>G84-F84</f>
        <v>49</v>
      </c>
    </row>
    <row r="85" spans="1:8" ht="15" x14ac:dyDescent="0.4">
      <c r="A85" s="9" t="s">
        <v>219</v>
      </c>
      <c r="B85" s="51" t="s">
        <v>155</v>
      </c>
      <c r="C85" s="51" t="s">
        <v>155</v>
      </c>
      <c r="D85" s="51" t="s">
        <v>155</v>
      </c>
      <c r="E85" s="51">
        <v>13579</v>
      </c>
      <c r="F85" s="51">
        <v>13638</v>
      </c>
      <c r="G85" s="51">
        <f>VLOOKUP(A85,[1]isc_report1C_2627_300926!$B$10:$J$272,9,FALSE)</f>
        <v>13670</v>
      </c>
      <c r="H85" s="90">
        <f>G85-F85</f>
        <v>32</v>
      </c>
    </row>
    <row r="86" spans="1:8" ht="15" x14ac:dyDescent="0.4">
      <c r="A86" s="9" t="s">
        <v>111</v>
      </c>
      <c r="B86" s="51">
        <v>13037</v>
      </c>
      <c r="C86" s="51">
        <v>13015</v>
      </c>
      <c r="D86" s="51">
        <v>12911</v>
      </c>
      <c r="E86" s="51">
        <v>12889</v>
      </c>
      <c r="F86" s="51">
        <v>12994</v>
      </c>
      <c r="G86" s="51">
        <f>VLOOKUP(A86,[1]isc_report1C_2627_300926!$B$10:$J$272,9,FALSE)</f>
        <v>13011</v>
      </c>
      <c r="H86" s="90">
        <f>G86-F86</f>
        <v>17</v>
      </c>
    </row>
    <row r="87" spans="1:8" ht="15" x14ac:dyDescent="0.4">
      <c r="A87" s="9" t="s">
        <v>114</v>
      </c>
      <c r="B87" s="51">
        <v>12608</v>
      </c>
      <c r="C87" s="51">
        <v>12587</v>
      </c>
      <c r="D87" s="51">
        <v>12544</v>
      </c>
      <c r="E87" s="51">
        <v>12431</v>
      </c>
      <c r="F87" s="51">
        <v>12546</v>
      </c>
      <c r="G87" s="51">
        <f>VLOOKUP(A87,[1]isc_report1C_2627_300926!$B$10:$J$272,9,FALSE)</f>
        <v>12561</v>
      </c>
      <c r="H87" s="90">
        <f>G87-F87</f>
        <v>15</v>
      </c>
    </row>
    <row r="88" spans="1:8" ht="15" x14ac:dyDescent="0.4">
      <c r="A88" s="9" t="s">
        <v>108</v>
      </c>
      <c r="B88" s="51">
        <v>16494</v>
      </c>
      <c r="C88" s="51">
        <v>15795</v>
      </c>
      <c r="D88" s="51">
        <v>14913</v>
      </c>
      <c r="E88" s="51">
        <v>13988</v>
      </c>
      <c r="F88" s="51">
        <v>13270</v>
      </c>
      <c r="G88" s="51">
        <f>VLOOKUP(A88,[1]isc_report1C_2627_300926!$B$10:$J$272,9,FALSE)</f>
        <v>12331</v>
      </c>
      <c r="H88" s="90">
        <f>G88-F88</f>
        <v>-939</v>
      </c>
    </row>
    <row r="89" spans="1:8" ht="15" x14ac:dyDescent="0.4">
      <c r="A89" s="9" t="s">
        <v>113</v>
      </c>
      <c r="B89" s="51">
        <v>12614</v>
      </c>
      <c r="C89" s="51">
        <v>12578</v>
      </c>
      <c r="D89" s="51">
        <v>12445</v>
      </c>
      <c r="E89" s="51">
        <v>12306</v>
      </c>
      <c r="F89" s="51">
        <v>12340</v>
      </c>
      <c r="G89" s="51">
        <f>VLOOKUP(A89,[1]isc_report1C_2627_300926!$B$10:$J$272,9,FALSE)</f>
        <v>12328</v>
      </c>
      <c r="H89" s="90">
        <f>G89-F89</f>
        <v>-12</v>
      </c>
    </row>
    <row r="90" spans="1:8" ht="15" x14ac:dyDescent="0.4">
      <c r="A90" s="9" t="s">
        <v>112</v>
      </c>
      <c r="B90" s="51">
        <v>12808</v>
      </c>
      <c r="C90" s="51">
        <v>12621</v>
      </c>
      <c r="D90" s="51">
        <v>12457</v>
      </c>
      <c r="E90" s="51">
        <v>12271</v>
      </c>
      <c r="F90" s="51">
        <v>12287</v>
      </c>
      <c r="G90" s="51">
        <f>VLOOKUP(A90,[1]isc_report1C_2627_300926!$B$10:$J$272,9,FALSE)</f>
        <v>12099</v>
      </c>
      <c r="H90" s="90">
        <f>G90-F90</f>
        <v>-188</v>
      </c>
    </row>
    <row r="91" spans="1:8" ht="15" x14ac:dyDescent="0.4">
      <c r="A91" s="9" t="s">
        <v>187</v>
      </c>
      <c r="B91" s="51" t="s">
        <v>132</v>
      </c>
      <c r="C91" s="51" t="s">
        <v>132</v>
      </c>
      <c r="D91" s="51">
        <v>12112</v>
      </c>
      <c r="E91" s="51">
        <v>11932</v>
      </c>
      <c r="F91" s="51">
        <v>11917</v>
      </c>
      <c r="G91" s="51">
        <f>VLOOKUP(A91,[1]isc_report1C_2627_300926!$B$10:$J$272,9,FALSE)</f>
        <v>11813</v>
      </c>
      <c r="H91" s="90">
        <f>G91-F91</f>
        <v>-104</v>
      </c>
    </row>
    <row r="92" spans="1:8" ht="15" x14ac:dyDescent="0.4">
      <c r="A92" s="9" t="s">
        <v>204</v>
      </c>
      <c r="B92" s="51" t="s">
        <v>132</v>
      </c>
      <c r="C92" s="51" t="s">
        <v>132</v>
      </c>
      <c r="D92" s="51">
        <v>11591</v>
      </c>
      <c r="E92" s="51">
        <v>11528</v>
      </c>
      <c r="F92" s="51">
        <v>11521</v>
      </c>
      <c r="G92" s="51">
        <f>VLOOKUP(A92,[1]isc_report1C_2627_300926!$B$10:$J$272,9,FALSE)</f>
        <v>11680</v>
      </c>
      <c r="H92" s="90">
        <f>G92-F92</f>
        <v>159</v>
      </c>
    </row>
    <row r="93" spans="1:8" ht="15" x14ac:dyDescent="0.4">
      <c r="A93" s="9" t="s">
        <v>211</v>
      </c>
      <c r="B93" s="51" t="s">
        <v>155</v>
      </c>
      <c r="C93" s="51" t="s">
        <v>155</v>
      </c>
      <c r="D93" s="51" t="s">
        <v>155</v>
      </c>
      <c r="E93" s="51">
        <v>11272</v>
      </c>
      <c r="F93" s="51">
        <v>11409</v>
      </c>
      <c r="G93" s="51">
        <f>VLOOKUP(A93,[1]isc_report1C_2627_300926!$B$10:$J$272,9,FALSE)</f>
        <v>11545</v>
      </c>
      <c r="H93" s="90">
        <f>G93-F93</f>
        <v>136</v>
      </c>
    </row>
    <row r="94" spans="1:8" ht="15" x14ac:dyDescent="0.4">
      <c r="A94" s="9" t="s">
        <v>130</v>
      </c>
      <c r="B94" s="51">
        <v>2466</v>
      </c>
      <c r="C94" s="51">
        <v>2699</v>
      </c>
      <c r="D94" s="51">
        <v>3303</v>
      </c>
      <c r="E94" s="51">
        <v>5126</v>
      </c>
      <c r="F94" s="51">
        <v>10096</v>
      </c>
      <c r="G94" s="51">
        <f>VLOOKUP(A94,[1]isc_report1C_2627_300926!$B$10:$J$272,9,FALSE)</f>
        <v>11460</v>
      </c>
      <c r="H94" s="90">
        <f>G94-F94</f>
        <v>1364</v>
      </c>
    </row>
    <row r="95" spans="1:8" ht="15" x14ac:dyDescent="0.4">
      <c r="A95" s="9" t="s">
        <v>183</v>
      </c>
      <c r="B95" s="51" t="s">
        <v>132</v>
      </c>
      <c r="C95" s="51" t="s">
        <v>132</v>
      </c>
      <c r="D95" s="51">
        <v>11275</v>
      </c>
      <c r="E95" s="51">
        <v>11131</v>
      </c>
      <c r="F95" s="51">
        <v>11187</v>
      </c>
      <c r="G95" s="51">
        <f>VLOOKUP(A95,[1]isc_report1C_2627_300926!$B$10:$J$272,9,FALSE)</f>
        <v>11128</v>
      </c>
      <c r="H95" s="90">
        <f>G95-F95</f>
        <v>-59</v>
      </c>
    </row>
    <row r="96" spans="1:8" ht="15" x14ac:dyDescent="0.4">
      <c r="A96" s="9" t="s">
        <v>115</v>
      </c>
      <c r="B96" s="51">
        <v>10645</v>
      </c>
      <c r="C96" s="51">
        <v>10459</v>
      </c>
      <c r="D96" s="51">
        <v>10347</v>
      </c>
      <c r="E96" s="51">
        <v>10545</v>
      </c>
      <c r="F96" s="51">
        <v>10759</v>
      </c>
      <c r="G96" s="51">
        <f>VLOOKUP(A96,[1]isc_report1C_2627_300926!$B$10:$J$272,9,FALSE)</f>
        <v>10512</v>
      </c>
      <c r="H96" s="90">
        <f>G96-F96</f>
        <v>-247</v>
      </c>
    </row>
    <row r="97" spans="1:8" ht="15" x14ac:dyDescent="0.4">
      <c r="A97" s="9" t="s">
        <v>174</v>
      </c>
      <c r="B97" s="51" t="s">
        <v>132</v>
      </c>
      <c r="C97" s="51">
        <v>10775</v>
      </c>
      <c r="D97" s="51">
        <v>10667</v>
      </c>
      <c r="E97" s="51">
        <v>10459</v>
      </c>
      <c r="F97" s="51">
        <v>10453</v>
      </c>
      <c r="G97" s="51">
        <f>VLOOKUP(A97,[1]isc_report1C_2627_300926!$B$10:$J$272,9,FALSE)</f>
        <v>10466</v>
      </c>
      <c r="H97" s="90">
        <f>G97-F97</f>
        <v>13</v>
      </c>
    </row>
    <row r="98" spans="1:8" ht="15" x14ac:dyDescent="0.4">
      <c r="A98" s="9" t="s">
        <v>180</v>
      </c>
      <c r="B98" s="51" t="s">
        <v>132</v>
      </c>
      <c r="C98" s="51">
        <v>10906</v>
      </c>
      <c r="D98" s="51">
        <v>10761</v>
      </c>
      <c r="E98" s="51">
        <v>10582</v>
      </c>
      <c r="F98" s="51">
        <v>10566</v>
      </c>
      <c r="G98" s="51">
        <f>VLOOKUP(A98,[1]isc_report1C_2627_300926!$B$10:$J$272,9,FALSE)</f>
        <v>10450</v>
      </c>
      <c r="H98" s="90">
        <f>G98-F98</f>
        <v>-116</v>
      </c>
    </row>
    <row r="99" spans="1:8" ht="15" x14ac:dyDescent="0.4">
      <c r="A99" s="9" t="s">
        <v>172</v>
      </c>
      <c r="B99" s="51" t="s">
        <v>132</v>
      </c>
      <c r="C99" s="51">
        <v>10072</v>
      </c>
      <c r="D99" s="51">
        <v>10042</v>
      </c>
      <c r="E99" s="51">
        <v>10044</v>
      </c>
      <c r="F99" s="51">
        <v>10151</v>
      </c>
      <c r="G99" s="51">
        <f>VLOOKUP(A99,[1]isc_report1C_2627_300926!$B$10:$J$272,9,FALSE)</f>
        <v>10171</v>
      </c>
      <c r="H99" s="90">
        <f>G99-F99</f>
        <v>20</v>
      </c>
    </row>
    <row r="100" spans="1:8" ht="15" x14ac:dyDescent="0.4">
      <c r="A100" s="9" t="s">
        <v>170</v>
      </c>
      <c r="B100" s="51" t="s">
        <v>132</v>
      </c>
      <c r="C100" s="51">
        <v>9859</v>
      </c>
      <c r="D100" s="51">
        <v>9910</v>
      </c>
      <c r="E100" s="51">
        <v>9924</v>
      </c>
      <c r="F100" s="51">
        <v>9963</v>
      </c>
      <c r="G100" s="51">
        <f>VLOOKUP(A100,[1]isc_report1C_2627_300926!$B$10:$J$272,9,FALSE)</f>
        <v>9907</v>
      </c>
      <c r="H100" s="90">
        <f>G100-F100</f>
        <v>-56</v>
      </c>
    </row>
    <row r="101" spans="1:8" ht="15" x14ac:dyDescent="0.4">
      <c r="A101" s="9" t="s">
        <v>251</v>
      </c>
      <c r="B101" s="51" t="s">
        <v>155</v>
      </c>
      <c r="C101" s="51" t="s">
        <v>155</v>
      </c>
      <c r="D101" s="51" t="s">
        <v>155</v>
      </c>
      <c r="E101" s="51" t="s">
        <v>155</v>
      </c>
      <c r="F101" s="51">
        <v>9569</v>
      </c>
      <c r="G101" s="51">
        <f>VLOOKUP(A101,[1]isc_report1C_2627_300926!$B$10:$J$272,9,FALSE)</f>
        <v>9706</v>
      </c>
      <c r="H101" s="90">
        <f>G101-F101</f>
        <v>137</v>
      </c>
    </row>
    <row r="102" spans="1:8" ht="15" x14ac:dyDescent="0.4">
      <c r="A102" s="9" t="s">
        <v>252</v>
      </c>
      <c r="B102" s="51" t="s">
        <v>155</v>
      </c>
      <c r="C102" s="51" t="s">
        <v>155</v>
      </c>
      <c r="D102" s="51" t="s">
        <v>155</v>
      </c>
      <c r="E102" s="51" t="s">
        <v>155</v>
      </c>
      <c r="F102" s="51">
        <v>9036</v>
      </c>
      <c r="G102" s="51">
        <f>VLOOKUP(A102,[1]isc_report1C_2627_300926!$B$10:$J$272,9,FALSE)</f>
        <v>9058</v>
      </c>
      <c r="H102" s="90">
        <f>G102-F102</f>
        <v>22</v>
      </c>
    </row>
    <row r="103" spans="1:8" ht="15" x14ac:dyDescent="0.4">
      <c r="A103" s="9" t="s">
        <v>116</v>
      </c>
      <c r="B103" s="51">
        <v>8292</v>
      </c>
      <c r="C103" s="51">
        <v>8410</v>
      </c>
      <c r="D103" s="51">
        <v>8494</v>
      </c>
      <c r="E103" s="51">
        <v>8578</v>
      </c>
      <c r="F103" s="51">
        <v>8668</v>
      </c>
      <c r="G103" s="51">
        <f>VLOOKUP(A103,[1]isc_report1C_2627_300926!$B$10:$J$272,9,FALSE)</f>
        <v>8798</v>
      </c>
      <c r="H103" s="90">
        <f>G103-F103</f>
        <v>130</v>
      </c>
    </row>
    <row r="104" spans="1:8" ht="15" x14ac:dyDescent="0.4">
      <c r="A104" s="9" t="s">
        <v>226</v>
      </c>
      <c r="B104" s="51" t="s">
        <v>155</v>
      </c>
      <c r="C104" s="51" t="s">
        <v>155</v>
      </c>
      <c r="D104" s="51" t="s">
        <v>155</v>
      </c>
      <c r="E104" s="51">
        <v>8198</v>
      </c>
      <c r="F104" s="51">
        <v>8235</v>
      </c>
      <c r="G104" s="51">
        <f>VLOOKUP(A104,[1]isc_report1C_2627_300926!$B$10:$J$272,9,FALSE)</f>
        <v>8221</v>
      </c>
      <c r="H104" s="90">
        <f>G104-F104</f>
        <v>-14</v>
      </c>
    </row>
    <row r="105" spans="1:8" ht="15" x14ac:dyDescent="0.4">
      <c r="A105" s="9" t="s">
        <v>253</v>
      </c>
      <c r="B105" s="51" t="s">
        <v>155</v>
      </c>
      <c r="C105" s="51" t="s">
        <v>155</v>
      </c>
      <c r="D105" s="51" t="s">
        <v>155</v>
      </c>
      <c r="E105" s="51" t="s">
        <v>155</v>
      </c>
      <c r="F105" s="51">
        <v>7816</v>
      </c>
      <c r="G105" s="51">
        <f>VLOOKUP(A105,[1]isc_report1C_2627_300926!$B$10:$J$272,9,FALSE)</f>
        <v>7803</v>
      </c>
      <c r="H105" s="90">
        <f>G105-F105</f>
        <v>-13</v>
      </c>
    </row>
    <row r="106" spans="1:8" ht="15" x14ac:dyDescent="0.4">
      <c r="A106" s="9" t="s">
        <v>191</v>
      </c>
      <c r="B106" s="51" t="s">
        <v>132</v>
      </c>
      <c r="C106" s="51" t="s">
        <v>132</v>
      </c>
      <c r="D106" s="51">
        <v>6968</v>
      </c>
      <c r="E106" s="51">
        <v>7145</v>
      </c>
      <c r="F106" s="51">
        <v>7376</v>
      </c>
      <c r="G106" s="51">
        <f>VLOOKUP(A106,[1]isc_report1C_2627_300926!$B$10:$J$272,9,FALSE)</f>
        <v>7537</v>
      </c>
      <c r="H106" s="90">
        <f>G106-F106</f>
        <v>161</v>
      </c>
    </row>
    <row r="107" spans="1:8" ht="15" x14ac:dyDescent="0.4">
      <c r="A107" s="9" t="s">
        <v>119</v>
      </c>
      <c r="B107" s="51">
        <v>5924</v>
      </c>
      <c r="C107" s="51">
        <v>6106</v>
      </c>
      <c r="D107" s="51">
        <v>6343</v>
      </c>
      <c r="E107" s="51">
        <v>6621</v>
      </c>
      <c r="F107" s="51">
        <v>6988</v>
      </c>
      <c r="G107" s="51">
        <f>VLOOKUP(A107,[1]isc_report1C_2627_300926!$B$10:$J$272,9,FALSE)</f>
        <v>7454</v>
      </c>
      <c r="H107" s="90">
        <f>G107-F107</f>
        <v>466</v>
      </c>
    </row>
    <row r="108" spans="1:8" ht="15" x14ac:dyDescent="0.4">
      <c r="A108" s="9" t="s">
        <v>120</v>
      </c>
      <c r="B108" s="51">
        <v>5913</v>
      </c>
      <c r="C108" s="51">
        <v>6042</v>
      </c>
      <c r="D108" s="51">
        <v>6271</v>
      </c>
      <c r="E108" s="51">
        <v>6583</v>
      </c>
      <c r="F108" s="51">
        <v>6842</v>
      </c>
      <c r="G108" s="51">
        <f>VLOOKUP(A108,[1]isc_report1C_2627_300926!$B$10:$J$272,9,FALSE)</f>
        <v>6995</v>
      </c>
      <c r="H108" s="90">
        <f>G108-F108</f>
        <v>153</v>
      </c>
    </row>
    <row r="109" spans="1:8" ht="15" x14ac:dyDescent="0.4">
      <c r="A109" s="9" t="s">
        <v>254</v>
      </c>
      <c r="B109" s="51" t="s">
        <v>155</v>
      </c>
      <c r="C109" s="51" t="s">
        <v>155</v>
      </c>
      <c r="D109" s="51" t="s">
        <v>155</v>
      </c>
      <c r="E109" s="51" t="s">
        <v>155</v>
      </c>
      <c r="F109" s="51">
        <v>6613</v>
      </c>
      <c r="G109" s="51">
        <f>VLOOKUP(A109,[1]isc_report1C_2627_300926!$B$10:$J$272,9,FALSE)</f>
        <v>6625</v>
      </c>
      <c r="H109" s="90">
        <f>G109-F109</f>
        <v>12</v>
      </c>
    </row>
    <row r="110" spans="1:8" ht="15" x14ac:dyDescent="0.4">
      <c r="A110" s="9" t="s">
        <v>117</v>
      </c>
      <c r="B110" s="51">
        <v>6659</v>
      </c>
      <c r="C110" s="51">
        <v>6653</v>
      </c>
      <c r="D110" s="51">
        <v>6615</v>
      </c>
      <c r="E110" s="51">
        <v>6554</v>
      </c>
      <c r="F110" s="51">
        <v>6529</v>
      </c>
      <c r="G110" s="51">
        <f>VLOOKUP(A110,[1]isc_report1C_2627_300926!$B$10:$J$272,9,FALSE)</f>
        <v>6529</v>
      </c>
      <c r="H110" s="90">
        <f>G110-F110</f>
        <v>0</v>
      </c>
    </row>
    <row r="111" spans="1:8" ht="15" x14ac:dyDescent="0.4">
      <c r="A111" s="9" t="s">
        <v>185</v>
      </c>
      <c r="B111" s="51" t="s">
        <v>132</v>
      </c>
      <c r="C111" s="51" t="s">
        <v>132</v>
      </c>
      <c r="D111" s="51">
        <v>6505</v>
      </c>
      <c r="E111" s="51">
        <v>6400</v>
      </c>
      <c r="F111" s="51">
        <v>6452</v>
      </c>
      <c r="G111" s="51">
        <f>VLOOKUP(A111,[1]isc_report1C_2627_300926!$B$10:$J$272,9,FALSE)</f>
        <v>6461</v>
      </c>
      <c r="H111" s="90">
        <f>G111-F111</f>
        <v>9</v>
      </c>
    </row>
    <row r="112" spans="1:8" ht="15" x14ac:dyDescent="0.4">
      <c r="A112" s="9" t="s">
        <v>138</v>
      </c>
      <c r="B112" s="51">
        <v>1044</v>
      </c>
      <c r="C112" s="51">
        <v>2511</v>
      </c>
      <c r="D112" s="51">
        <v>4334</v>
      </c>
      <c r="E112" s="51">
        <v>5944</v>
      </c>
      <c r="F112" s="51">
        <v>6299</v>
      </c>
      <c r="G112" s="51">
        <f>VLOOKUP(A112,[1]isc_report1C_2627_300926!$B$10:$J$272,9,FALSE)</f>
        <v>6408</v>
      </c>
      <c r="H112" s="90">
        <f>G112-F112</f>
        <v>109</v>
      </c>
    </row>
    <row r="113" spans="1:8" ht="15" x14ac:dyDescent="0.4">
      <c r="A113" s="9" t="s">
        <v>118</v>
      </c>
      <c r="B113" s="51">
        <v>6516</v>
      </c>
      <c r="C113" s="51">
        <v>6476</v>
      </c>
      <c r="D113" s="51">
        <v>6385</v>
      </c>
      <c r="E113" s="51">
        <v>6311</v>
      </c>
      <c r="F113" s="51">
        <v>6340</v>
      </c>
      <c r="G113" s="51">
        <f>VLOOKUP(A113,[1]isc_report1C_2627_300926!$B$10:$J$272,9,FALSE)</f>
        <v>6289</v>
      </c>
      <c r="H113" s="90">
        <f>G113-F113</f>
        <v>-51</v>
      </c>
    </row>
    <row r="114" spans="1:8" ht="15" x14ac:dyDescent="0.4">
      <c r="A114" s="9" t="s">
        <v>121</v>
      </c>
      <c r="B114" s="51">
        <v>5793</v>
      </c>
      <c r="C114" s="51">
        <v>5770</v>
      </c>
      <c r="D114" s="51">
        <v>5737</v>
      </c>
      <c r="E114" s="51">
        <v>5652</v>
      </c>
      <c r="F114" s="51">
        <v>5697</v>
      </c>
      <c r="G114" s="51">
        <f>VLOOKUP(A114,[1]isc_report1C_2627_300926!$B$10:$J$272,9,FALSE)</f>
        <v>5698</v>
      </c>
      <c r="H114" s="90">
        <f>G114-F114</f>
        <v>1</v>
      </c>
    </row>
    <row r="115" spans="1:8" ht="15" x14ac:dyDescent="0.4">
      <c r="A115" s="9" t="s">
        <v>123</v>
      </c>
      <c r="B115" s="51">
        <v>4737</v>
      </c>
      <c r="C115" s="51">
        <v>4943</v>
      </c>
      <c r="D115" s="51">
        <v>5125</v>
      </c>
      <c r="E115" s="51">
        <v>5271</v>
      </c>
      <c r="F115" s="51">
        <v>5527</v>
      </c>
      <c r="G115" s="51">
        <f>VLOOKUP(A115,[1]isc_report1C_2627_300926!$B$10:$J$272,9,FALSE)</f>
        <v>5662</v>
      </c>
      <c r="H115" s="90">
        <f>G115-F115</f>
        <v>135</v>
      </c>
    </row>
    <row r="116" spans="1:8" ht="15" x14ac:dyDescent="0.4">
      <c r="A116" s="9" t="s">
        <v>122</v>
      </c>
      <c r="B116" s="51">
        <v>5151</v>
      </c>
      <c r="C116" s="51">
        <v>5233</v>
      </c>
      <c r="D116" s="51">
        <v>5312</v>
      </c>
      <c r="E116" s="51">
        <v>5374</v>
      </c>
      <c r="F116" s="51">
        <v>5423</v>
      </c>
      <c r="G116" s="51">
        <f>VLOOKUP(A116,[1]isc_report1C_2627_300926!$B$10:$J$272,9,FALSE)</f>
        <v>5414</v>
      </c>
      <c r="H116" s="90">
        <f>G116-F116</f>
        <v>-9</v>
      </c>
    </row>
    <row r="117" spans="1:8" ht="15" x14ac:dyDescent="0.4">
      <c r="A117" s="9" t="s">
        <v>163</v>
      </c>
      <c r="B117" s="51" t="s">
        <v>132</v>
      </c>
      <c r="C117" s="51">
        <v>3390</v>
      </c>
      <c r="D117" s="51">
        <v>3452</v>
      </c>
      <c r="E117" s="51">
        <v>3767</v>
      </c>
      <c r="F117" s="51">
        <v>4872</v>
      </c>
      <c r="G117" s="51">
        <f>VLOOKUP(A117,[1]isc_report1C_2627_300926!$B$10:$J$272,9,FALSE)</f>
        <v>5272</v>
      </c>
      <c r="H117" s="90">
        <f>G117-F117</f>
        <v>400</v>
      </c>
    </row>
    <row r="118" spans="1:8" ht="15" x14ac:dyDescent="0.4">
      <c r="A118" s="9" t="s">
        <v>178</v>
      </c>
      <c r="B118" s="51" t="s">
        <v>132</v>
      </c>
      <c r="C118" s="51">
        <v>5228</v>
      </c>
      <c r="D118" s="51">
        <v>5256</v>
      </c>
      <c r="E118" s="51">
        <v>5189</v>
      </c>
      <c r="F118" s="51">
        <v>5210</v>
      </c>
      <c r="G118" s="51">
        <f>VLOOKUP(A118,[1]isc_report1C_2627_300926!$B$10:$J$272,9,FALSE)</f>
        <v>5162</v>
      </c>
      <c r="H118" s="90">
        <f>G118-F118</f>
        <v>-48</v>
      </c>
    </row>
    <row r="119" spans="1:8" ht="15" x14ac:dyDescent="0.4">
      <c r="A119" s="9" t="s">
        <v>195</v>
      </c>
      <c r="B119" s="51" t="s">
        <v>132</v>
      </c>
      <c r="C119" s="51" t="s">
        <v>132</v>
      </c>
      <c r="D119" s="51">
        <v>4521</v>
      </c>
      <c r="E119" s="51">
        <v>4493</v>
      </c>
      <c r="F119" s="51">
        <v>4490</v>
      </c>
      <c r="G119" s="51">
        <f>VLOOKUP(A119,[1]isc_report1C_2627_300926!$B$10:$J$272,9,FALSE)</f>
        <v>4496</v>
      </c>
      <c r="H119" s="90">
        <f>G119-F119</f>
        <v>6</v>
      </c>
    </row>
    <row r="120" spans="1:8" ht="15" x14ac:dyDescent="0.4">
      <c r="A120" s="9" t="s">
        <v>124</v>
      </c>
      <c r="B120" s="51">
        <v>4716</v>
      </c>
      <c r="C120" s="51">
        <v>4684</v>
      </c>
      <c r="D120" s="51">
        <v>4637</v>
      </c>
      <c r="E120" s="51">
        <v>4439</v>
      </c>
      <c r="F120" s="51">
        <v>4428</v>
      </c>
      <c r="G120" s="51">
        <f>VLOOKUP(A120,[1]isc_report1C_2627_300926!$B$10:$J$272,9,FALSE)</f>
        <v>4396</v>
      </c>
      <c r="H120" s="90">
        <f>G120-F120</f>
        <v>-32</v>
      </c>
    </row>
    <row r="121" spans="1:8" ht="15" x14ac:dyDescent="0.4">
      <c r="A121" s="9" t="s">
        <v>161</v>
      </c>
      <c r="B121" s="51" t="s">
        <v>132</v>
      </c>
      <c r="C121" s="51">
        <v>4198</v>
      </c>
      <c r="D121" s="51">
        <v>4158</v>
      </c>
      <c r="E121" s="51">
        <v>4111</v>
      </c>
      <c r="F121" s="51">
        <v>4143</v>
      </c>
      <c r="G121" s="51">
        <f>VLOOKUP(A121,[1]isc_report1C_2627_300926!$B$10:$J$272,9,FALSE)</f>
        <v>4139</v>
      </c>
      <c r="H121" s="90">
        <f>G121-F121</f>
        <v>-4</v>
      </c>
    </row>
    <row r="122" spans="1:8" ht="15" x14ac:dyDescent="0.4">
      <c r="A122" s="9" t="s">
        <v>200</v>
      </c>
      <c r="B122" s="51" t="s">
        <v>132</v>
      </c>
      <c r="C122" s="51" t="s">
        <v>132</v>
      </c>
      <c r="D122" s="51">
        <v>4306</v>
      </c>
      <c r="E122" s="51">
        <v>4175</v>
      </c>
      <c r="F122" s="51">
        <v>4130</v>
      </c>
      <c r="G122" s="51">
        <f>VLOOKUP(A122,[1]isc_report1C_2627_300926!$B$10:$J$272,9,FALSE)</f>
        <v>4080</v>
      </c>
      <c r="H122" s="90">
        <f>G122-F122</f>
        <v>-50</v>
      </c>
    </row>
    <row r="123" spans="1:8" ht="15" x14ac:dyDescent="0.4">
      <c r="A123" s="9" t="s">
        <v>205</v>
      </c>
      <c r="B123" s="51" t="s">
        <v>132</v>
      </c>
      <c r="C123" s="51" t="s">
        <v>132</v>
      </c>
      <c r="D123" s="51">
        <v>4046</v>
      </c>
      <c r="E123" s="51">
        <v>4005</v>
      </c>
      <c r="F123" s="51">
        <v>4041</v>
      </c>
      <c r="G123" s="51">
        <f>VLOOKUP(A123,[1]isc_report1C_2627_300926!$B$10:$J$272,9,FALSE)</f>
        <v>4055</v>
      </c>
      <c r="H123" s="90">
        <f>G123-F123</f>
        <v>14</v>
      </c>
    </row>
    <row r="124" spans="1:8" ht="15" x14ac:dyDescent="0.4">
      <c r="A124" s="9" t="s">
        <v>255</v>
      </c>
      <c r="B124" s="51" t="s">
        <v>155</v>
      </c>
      <c r="C124" s="51" t="s">
        <v>155</v>
      </c>
      <c r="D124" s="51" t="s">
        <v>155</v>
      </c>
      <c r="E124" s="51" t="s">
        <v>155</v>
      </c>
      <c r="F124" s="51">
        <v>3803</v>
      </c>
      <c r="G124" s="51">
        <f>VLOOKUP(A124,[1]isc_report1C_2627_300926!$B$10:$J$272,9,FALSE)</f>
        <v>3654</v>
      </c>
      <c r="H124" s="90">
        <f>G124-F124</f>
        <v>-149</v>
      </c>
    </row>
    <row r="125" spans="1:8" ht="15" x14ac:dyDescent="0.4">
      <c r="A125" s="9" t="s">
        <v>223</v>
      </c>
      <c r="B125" s="51" t="s">
        <v>155</v>
      </c>
      <c r="C125" s="51" t="s">
        <v>155</v>
      </c>
      <c r="D125" s="51" t="s">
        <v>155</v>
      </c>
      <c r="E125" s="51">
        <v>3454</v>
      </c>
      <c r="F125" s="51">
        <v>3613</v>
      </c>
      <c r="G125" s="51">
        <f>VLOOKUP(A125,[1]isc_report1C_2627_300926!$B$10:$J$272,9,FALSE)</f>
        <v>3562</v>
      </c>
      <c r="H125" s="90">
        <f>G125-F125</f>
        <v>-51</v>
      </c>
    </row>
    <row r="126" spans="1:8" ht="15" x14ac:dyDescent="0.4">
      <c r="A126" s="9" t="s">
        <v>127</v>
      </c>
      <c r="B126" s="51">
        <v>3091</v>
      </c>
      <c r="C126" s="51">
        <v>3138</v>
      </c>
      <c r="D126" s="51">
        <v>3172</v>
      </c>
      <c r="E126" s="51">
        <v>3197</v>
      </c>
      <c r="F126" s="51">
        <v>3285</v>
      </c>
      <c r="G126" s="51">
        <f>VLOOKUP(A126,[1]isc_report1C_2627_300926!$B$10:$J$272,9,FALSE)</f>
        <v>3347</v>
      </c>
      <c r="H126" s="90">
        <f>G126-F126</f>
        <v>62</v>
      </c>
    </row>
    <row r="127" spans="1:8" ht="15" x14ac:dyDescent="0.4">
      <c r="A127" s="9" t="s">
        <v>256</v>
      </c>
      <c r="B127" s="51" t="s">
        <v>155</v>
      </c>
      <c r="C127" s="51" t="s">
        <v>155</v>
      </c>
      <c r="D127" s="51" t="s">
        <v>155</v>
      </c>
      <c r="E127" s="51" t="s">
        <v>155</v>
      </c>
      <c r="F127" s="51">
        <v>3241</v>
      </c>
      <c r="G127" s="51">
        <f>VLOOKUP(A127,[1]isc_report1C_2627_300926!$B$10:$J$272,9,FALSE)</f>
        <v>3260</v>
      </c>
      <c r="H127" s="90">
        <f>G127-F127</f>
        <v>19</v>
      </c>
    </row>
    <row r="128" spans="1:8" ht="15" x14ac:dyDescent="0.4">
      <c r="A128" s="9" t="s">
        <v>126</v>
      </c>
      <c r="B128" s="51">
        <v>3136</v>
      </c>
      <c r="C128" s="51">
        <v>3132</v>
      </c>
      <c r="D128" s="51">
        <v>3117</v>
      </c>
      <c r="E128" s="51">
        <v>3124</v>
      </c>
      <c r="F128" s="51">
        <v>3158</v>
      </c>
      <c r="G128" s="51">
        <f>VLOOKUP(A128,[1]isc_report1C_2627_300926!$B$10:$J$272,9,FALSE)</f>
        <v>3167</v>
      </c>
      <c r="H128" s="90">
        <f>G128-F128</f>
        <v>9</v>
      </c>
    </row>
    <row r="129" spans="1:8" ht="15" x14ac:dyDescent="0.4">
      <c r="A129" s="9" t="s">
        <v>125</v>
      </c>
      <c r="B129" s="51">
        <v>3341</v>
      </c>
      <c r="C129" s="51">
        <v>3305</v>
      </c>
      <c r="D129" s="51">
        <v>3250</v>
      </c>
      <c r="E129" s="51">
        <v>3191</v>
      </c>
      <c r="F129" s="51">
        <v>3189</v>
      </c>
      <c r="G129" s="51">
        <f>VLOOKUP(A129,[1]isc_report1C_2627_300926!$B$10:$J$272,9,FALSE)</f>
        <v>3149</v>
      </c>
      <c r="H129" s="90">
        <f>G129-F129</f>
        <v>-40</v>
      </c>
    </row>
    <row r="130" spans="1:8" ht="15" x14ac:dyDescent="0.4">
      <c r="A130" s="9" t="s">
        <v>168</v>
      </c>
      <c r="B130" s="51" t="s">
        <v>132</v>
      </c>
      <c r="C130" s="51">
        <v>2002</v>
      </c>
      <c r="D130" s="51">
        <v>2234</v>
      </c>
      <c r="E130" s="51">
        <v>2499</v>
      </c>
      <c r="F130" s="51">
        <v>2710</v>
      </c>
      <c r="G130" s="51">
        <f>VLOOKUP(A130,[1]isc_report1C_2627_300926!$B$10:$J$272,9,FALSE)</f>
        <v>2886</v>
      </c>
      <c r="H130" s="90">
        <f>G130-F130</f>
        <v>176</v>
      </c>
    </row>
    <row r="131" spans="1:8" ht="15" x14ac:dyDescent="0.4">
      <c r="A131" s="9" t="s">
        <v>225</v>
      </c>
      <c r="B131" s="51" t="s">
        <v>155</v>
      </c>
      <c r="C131" s="51" t="s">
        <v>155</v>
      </c>
      <c r="D131" s="51" t="s">
        <v>155</v>
      </c>
      <c r="E131" s="51">
        <v>2683</v>
      </c>
      <c r="F131" s="51">
        <v>2730</v>
      </c>
      <c r="G131" s="51">
        <f>VLOOKUP(A131,[1]isc_report1C_2627_300926!$B$10:$J$272,9,FALSE)</f>
        <v>2786</v>
      </c>
      <c r="H131" s="90">
        <f>G131-F131</f>
        <v>56</v>
      </c>
    </row>
    <row r="132" spans="1:8" ht="15" x14ac:dyDescent="0.4">
      <c r="A132" s="9" t="s">
        <v>129</v>
      </c>
      <c r="B132" s="51">
        <v>2565</v>
      </c>
      <c r="C132" s="51">
        <v>2547</v>
      </c>
      <c r="D132" s="51">
        <v>2586</v>
      </c>
      <c r="E132" s="51">
        <v>2622</v>
      </c>
      <c r="F132" s="51">
        <v>2708</v>
      </c>
      <c r="G132" s="51">
        <f>VLOOKUP(A132,[1]isc_report1C_2627_300926!$B$10:$J$272,9,FALSE)</f>
        <v>2777</v>
      </c>
      <c r="H132" s="90">
        <f>G132-F132</f>
        <v>69</v>
      </c>
    </row>
    <row r="133" spans="1:8" ht="15" x14ac:dyDescent="0.4">
      <c r="A133" s="9" t="s">
        <v>159</v>
      </c>
      <c r="B133" s="51" t="s">
        <v>132</v>
      </c>
      <c r="C133" s="51">
        <v>2596</v>
      </c>
      <c r="D133" s="51">
        <v>2588</v>
      </c>
      <c r="E133" s="51">
        <v>2575</v>
      </c>
      <c r="F133" s="51">
        <v>2587</v>
      </c>
      <c r="G133" s="51">
        <f>VLOOKUP(A133,[1]isc_report1C_2627_300926!$B$10:$J$272,9,FALSE)</f>
        <v>2601</v>
      </c>
      <c r="H133" s="90">
        <f>G133-F133</f>
        <v>14</v>
      </c>
    </row>
    <row r="134" spans="1:8" ht="15" x14ac:dyDescent="0.4">
      <c r="A134" s="9" t="s">
        <v>184</v>
      </c>
      <c r="B134" s="51" t="s">
        <v>132</v>
      </c>
      <c r="C134" s="51" t="s">
        <v>132</v>
      </c>
      <c r="D134" s="51">
        <v>3021</v>
      </c>
      <c r="E134" s="51">
        <v>2791</v>
      </c>
      <c r="F134" s="51">
        <v>2652</v>
      </c>
      <c r="G134" s="51">
        <f>VLOOKUP(A134,[1]isc_report1C_2627_300926!$B$10:$J$272,9,FALSE)</f>
        <v>2426</v>
      </c>
      <c r="H134" s="90">
        <f>G134-F134</f>
        <v>-226</v>
      </c>
    </row>
    <row r="135" spans="1:8" ht="15" x14ac:dyDescent="0.4">
      <c r="A135" s="9" t="s">
        <v>257</v>
      </c>
      <c r="B135" s="51" t="s">
        <v>155</v>
      </c>
      <c r="C135" s="51" t="s">
        <v>155</v>
      </c>
      <c r="D135" s="51" t="s">
        <v>155</v>
      </c>
      <c r="E135" s="51" t="s">
        <v>155</v>
      </c>
      <c r="F135" s="51">
        <v>2383</v>
      </c>
      <c r="G135" s="51">
        <f>VLOOKUP(A135,[1]isc_report1C_2627_300926!$B$10:$J$272,9,FALSE)</f>
        <v>2360</v>
      </c>
      <c r="H135" s="90">
        <f>G135-F135</f>
        <v>-23</v>
      </c>
    </row>
    <row r="136" spans="1:8" ht="15" x14ac:dyDescent="0.4">
      <c r="A136" s="9" t="s">
        <v>175</v>
      </c>
      <c r="B136" s="51" t="s">
        <v>132</v>
      </c>
      <c r="C136" s="51">
        <v>2738</v>
      </c>
      <c r="D136" s="51">
        <v>2579</v>
      </c>
      <c r="E136" s="51">
        <v>2379</v>
      </c>
      <c r="F136" s="51">
        <v>2272</v>
      </c>
      <c r="G136" s="51">
        <f>VLOOKUP(A136,[1]isc_report1C_2627_300926!$B$10:$J$272,9,FALSE)</f>
        <v>2190</v>
      </c>
      <c r="H136" s="90">
        <f>G136-F136</f>
        <v>-82</v>
      </c>
    </row>
    <row r="137" spans="1:8" ht="15" x14ac:dyDescent="0.4">
      <c r="A137" s="9" t="s">
        <v>131</v>
      </c>
      <c r="B137" s="51">
        <v>2216</v>
      </c>
      <c r="C137" s="51">
        <v>2209</v>
      </c>
      <c r="D137" s="51">
        <v>2221</v>
      </c>
      <c r="E137" s="51">
        <v>2182</v>
      </c>
      <c r="F137" s="51">
        <v>2193</v>
      </c>
      <c r="G137" s="51">
        <f>VLOOKUP(A137,[1]isc_report1C_2627_300926!$B$10:$J$272,9,FALSE)</f>
        <v>2184</v>
      </c>
      <c r="H137" s="90">
        <f>G137-F137</f>
        <v>-9</v>
      </c>
    </row>
    <row r="138" spans="1:8" ht="15" x14ac:dyDescent="0.4">
      <c r="A138" s="9" t="s">
        <v>190</v>
      </c>
      <c r="B138" s="51" t="s">
        <v>132</v>
      </c>
      <c r="C138" s="51" t="s">
        <v>132</v>
      </c>
      <c r="D138" s="51">
        <v>2080</v>
      </c>
      <c r="E138" s="51">
        <v>2047</v>
      </c>
      <c r="F138" s="51">
        <v>2046</v>
      </c>
      <c r="G138" s="51">
        <f>VLOOKUP(A138,[1]isc_report1C_2627_300926!$B$10:$J$272,9,FALSE)</f>
        <v>2035</v>
      </c>
      <c r="H138" s="90">
        <f>G138-F138</f>
        <v>-11</v>
      </c>
    </row>
    <row r="139" spans="1:8" ht="15" x14ac:dyDescent="0.4">
      <c r="A139" s="9" t="s">
        <v>164</v>
      </c>
      <c r="B139" s="51" t="s">
        <v>132</v>
      </c>
      <c r="C139" s="51">
        <v>2135</v>
      </c>
      <c r="D139" s="51">
        <v>2110</v>
      </c>
      <c r="E139" s="51">
        <v>2057</v>
      </c>
      <c r="F139" s="51">
        <v>2045</v>
      </c>
      <c r="G139" s="51">
        <f>VLOOKUP(A139,[1]isc_report1C_2627_300926!$B$10:$J$272,9,FALSE)</f>
        <v>2028</v>
      </c>
      <c r="H139" s="90">
        <f>G139-F139</f>
        <v>-17</v>
      </c>
    </row>
    <row r="140" spans="1:8" ht="15" x14ac:dyDescent="0.4">
      <c r="A140" s="9" t="s">
        <v>128</v>
      </c>
      <c r="B140" s="51">
        <v>2817</v>
      </c>
      <c r="C140" s="51">
        <v>2703</v>
      </c>
      <c r="D140" s="51">
        <v>2559</v>
      </c>
      <c r="E140" s="51">
        <v>2387</v>
      </c>
      <c r="F140" s="51">
        <v>2243</v>
      </c>
      <c r="G140" s="51">
        <f>VLOOKUP(A140,[1]isc_report1C_2627_300926!$B$10:$J$272,9,FALSE)</f>
        <v>2009</v>
      </c>
      <c r="H140" s="90">
        <f>G140-F140</f>
        <v>-234</v>
      </c>
    </row>
    <row r="141" spans="1:8" ht="15" x14ac:dyDescent="0.4">
      <c r="A141" s="9" t="s">
        <v>193</v>
      </c>
      <c r="B141" s="51" t="s">
        <v>132</v>
      </c>
      <c r="C141" s="51" t="s">
        <v>132</v>
      </c>
      <c r="D141" s="51">
        <v>1996</v>
      </c>
      <c r="E141" s="51">
        <v>1961</v>
      </c>
      <c r="F141" s="51">
        <v>1957</v>
      </c>
      <c r="G141" s="51">
        <f>VLOOKUP(A141,[1]isc_report1C_2627_300926!$B$10:$J$272,9,FALSE)</f>
        <v>1927</v>
      </c>
      <c r="H141" s="90">
        <f>G141-F141</f>
        <v>-30</v>
      </c>
    </row>
    <row r="142" spans="1:8" ht="15" x14ac:dyDescent="0.4">
      <c r="A142" s="9" t="s">
        <v>213</v>
      </c>
      <c r="B142" s="51" t="s">
        <v>155</v>
      </c>
      <c r="C142" s="51" t="s">
        <v>155</v>
      </c>
      <c r="D142" s="51" t="s">
        <v>155</v>
      </c>
      <c r="E142" s="51">
        <v>1888</v>
      </c>
      <c r="F142" s="51">
        <v>1906</v>
      </c>
      <c r="G142" s="51">
        <f>VLOOKUP(A142,[1]isc_report1C_2627_300926!$B$10:$J$272,9,FALSE)</f>
        <v>1898</v>
      </c>
      <c r="H142" s="90">
        <f>G142-F142</f>
        <v>-8</v>
      </c>
    </row>
    <row r="143" spans="1:8" ht="15" x14ac:dyDescent="0.4">
      <c r="A143" s="9" t="s">
        <v>134</v>
      </c>
      <c r="B143" s="51">
        <v>1731</v>
      </c>
      <c r="C143" s="51">
        <v>1712</v>
      </c>
      <c r="D143" s="51">
        <v>1700</v>
      </c>
      <c r="E143" s="51">
        <v>1687</v>
      </c>
      <c r="F143" s="51">
        <v>1683</v>
      </c>
      <c r="G143" s="51">
        <f>VLOOKUP(A143,[1]isc_report1C_2627_300926!$B$10:$J$272,9,FALSE)</f>
        <v>1680</v>
      </c>
      <c r="H143" s="90">
        <f>G143-F143</f>
        <v>-3</v>
      </c>
    </row>
    <row r="144" spans="1:8" ht="15" x14ac:dyDescent="0.4">
      <c r="A144" s="9" t="s">
        <v>258</v>
      </c>
      <c r="B144" s="51" t="s">
        <v>132</v>
      </c>
      <c r="C144" s="51" t="s">
        <v>132</v>
      </c>
      <c r="D144" s="51">
        <v>1535</v>
      </c>
      <c r="E144" s="51">
        <v>1506</v>
      </c>
      <c r="F144" s="51">
        <v>1488</v>
      </c>
      <c r="G144" s="51">
        <f>VLOOKUP(A144,[1]isc_report1C_2627_300926!$B$10:$J$272,9,FALSE)</f>
        <v>1528</v>
      </c>
      <c r="H144" s="90">
        <f>G144-F144</f>
        <v>40</v>
      </c>
    </row>
    <row r="145" spans="1:8" ht="15" x14ac:dyDescent="0.4">
      <c r="A145" s="9" t="s">
        <v>192</v>
      </c>
      <c r="B145" s="51" t="s">
        <v>132</v>
      </c>
      <c r="C145" s="51" t="s">
        <v>132</v>
      </c>
      <c r="D145" s="51">
        <v>1506</v>
      </c>
      <c r="E145" s="51">
        <v>1439</v>
      </c>
      <c r="F145" s="51">
        <v>1443</v>
      </c>
      <c r="G145" s="51">
        <f>VLOOKUP(A145,[1]isc_report1C_2627_300926!$B$10:$J$272,9,FALSE)</f>
        <v>1430</v>
      </c>
      <c r="H145" s="90">
        <f>G145-F145</f>
        <v>-13</v>
      </c>
    </row>
    <row r="146" spans="1:8" ht="15" x14ac:dyDescent="0.4">
      <c r="A146" s="9" t="s">
        <v>135</v>
      </c>
      <c r="B146" s="51">
        <v>1479</v>
      </c>
      <c r="C146" s="51">
        <v>1473</v>
      </c>
      <c r="D146" s="51">
        <v>1468</v>
      </c>
      <c r="E146" s="51">
        <v>1435</v>
      </c>
      <c r="F146" s="51">
        <v>1425</v>
      </c>
      <c r="G146" s="51">
        <f>VLOOKUP(A146,[1]isc_report1C_2627_300926!$B$10:$J$272,9,FALSE)</f>
        <v>1424</v>
      </c>
      <c r="H146" s="90">
        <f>G146-F146</f>
        <v>-1</v>
      </c>
    </row>
    <row r="147" spans="1:8" ht="15" x14ac:dyDescent="0.4">
      <c r="A147" s="9" t="s">
        <v>217</v>
      </c>
      <c r="B147" s="51" t="s">
        <v>155</v>
      </c>
      <c r="C147" s="51" t="s">
        <v>155</v>
      </c>
      <c r="D147" s="51" t="s">
        <v>155</v>
      </c>
      <c r="E147" s="51">
        <v>1390</v>
      </c>
      <c r="F147" s="51">
        <v>1406</v>
      </c>
      <c r="G147" s="51">
        <f>VLOOKUP(A147,[1]isc_report1C_2627_300926!$B$10:$J$272,9,FALSE)</f>
        <v>1387</v>
      </c>
      <c r="H147" s="90">
        <f>G147-F147</f>
        <v>-19</v>
      </c>
    </row>
    <row r="148" spans="1:8" ht="15" x14ac:dyDescent="0.4">
      <c r="A148" s="9" t="s">
        <v>133</v>
      </c>
      <c r="B148" s="51">
        <v>1931</v>
      </c>
      <c r="C148" s="51">
        <v>1836</v>
      </c>
      <c r="D148" s="51">
        <v>1716</v>
      </c>
      <c r="E148" s="51">
        <v>1602</v>
      </c>
      <c r="F148" s="51">
        <v>1498</v>
      </c>
      <c r="G148" s="51">
        <f>VLOOKUP(A148,[1]isc_report1C_2627_300926!$B$10:$J$272,9,FALSE)</f>
        <v>1295</v>
      </c>
      <c r="H148" s="90">
        <f>G148-F148</f>
        <v>-203</v>
      </c>
    </row>
    <row r="149" spans="1:8" ht="15" x14ac:dyDescent="0.4">
      <c r="A149" s="9" t="s">
        <v>221</v>
      </c>
      <c r="B149" s="51" t="s">
        <v>155</v>
      </c>
      <c r="C149" s="51" t="s">
        <v>155</v>
      </c>
      <c r="D149" s="51" t="s">
        <v>155</v>
      </c>
      <c r="E149" s="51">
        <v>1249</v>
      </c>
      <c r="F149" s="51">
        <v>1238</v>
      </c>
      <c r="G149" s="51">
        <f>VLOOKUP(A149,[1]isc_report1C_2627_300926!$B$10:$J$272,9,FALSE)</f>
        <v>1222</v>
      </c>
      <c r="H149" s="90">
        <f>G149-F149</f>
        <v>-16</v>
      </c>
    </row>
    <row r="150" spans="1:8" ht="15" x14ac:dyDescent="0.4">
      <c r="A150" s="9" t="s">
        <v>137</v>
      </c>
      <c r="B150" s="51">
        <v>1073</v>
      </c>
      <c r="C150" s="51">
        <v>1067</v>
      </c>
      <c r="D150" s="51">
        <v>1082</v>
      </c>
      <c r="E150" s="51">
        <v>1098</v>
      </c>
      <c r="F150" s="51">
        <v>1100</v>
      </c>
      <c r="G150" s="51">
        <f>VLOOKUP(A150,[1]isc_report1C_2627_300926!$B$10:$J$272,9,FALSE)</f>
        <v>1098</v>
      </c>
      <c r="H150" s="90">
        <f>G150-F150</f>
        <v>-2</v>
      </c>
    </row>
    <row r="151" spans="1:8" ht="15" x14ac:dyDescent="0.4">
      <c r="A151" s="9" t="s">
        <v>136</v>
      </c>
      <c r="B151" s="51">
        <v>1195</v>
      </c>
      <c r="C151" s="51">
        <v>1140</v>
      </c>
      <c r="D151" s="51">
        <v>1098</v>
      </c>
      <c r="E151" s="51">
        <v>1039</v>
      </c>
      <c r="F151" s="51">
        <v>1001</v>
      </c>
      <c r="G151" s="51">
        <f>VLOOKUP(A151,[1]isc_report1C_2627_300926!$B$10:$J$272,9,FALSE)</f>
        <v>925</v>
      </c>
      <c r="H151" s="90">
        <f>G151-F151</f>
        <v>-76</v>
      </c>
    </row>
    <row r="152" spans="1:8" ht="15" x14ac:dyDescent="0.4">
      <c r="A152" s="9" t="s">
        <v>188</v>
      </c>
      <c r="B152" s="51" t="s">
        <v>132</v>
      </c>
      <c r="C152" s="51" t="s">
        <v>132</v>
      </c>
      <c r="D152" s="51">
        <v>904</v>
      </c>
      <c r="E152" s="51">
        <v>897</v>
      </c>
      <c r="F152" s="51">
        <v>891</v>
      </c>
      <c r="G152" s="51">
        <f>VLOOKUP(A152,[1]isc_report1C_2627_300926!$B$10:$J$272,9,FALSE)</f>
        <v>884</v>
      </c>
      <c r="H152" s="90">
        <f>G152-F152</f>
        <v>-7</v>
      </c>
    </row>
    <row r="153" spans="1:8" ht="15" x14ac:dyDescent="0.4">
      <c r="A153" s="9" t="s">
        <v>212</v>
      </c>
      <c r="B153" s="51" t="s">
        <v>155</v>
      </c>
      <c r="C153" s="51" t="s">
        <v>155</v>
      </c>
      <c r="D153" s="51" t="s">
        <v>155</v>
      </c>
      <c r="E153" s="51">
        <v>897</v>
      </c>
      <c r="F153" s="51">
        <v>885</v>
      </c>
      <c r="G153" s="51">
        <f>VLOOKUP(A153,[1]isc_report1C_2627_300926!$B$10:$J$272,9,FALSE)</f>
        <v>876</v>
      </c>
      <c r="H153" s="90">
        <f>G153-F153</f>
        <v>-9</v>
      </c>
    </row>
    <row r="154" spans="1:8" ht="15" x14ac:dyDescent="0.4">
      <c r="A154" s="9" t="s">
        <v>152</v>
      </c>
      <c r="B154" s="51" t="s">
        <v>132</v>
      </c>
      <c r="C154" s="51">
        <v>727</v>
      </c>
      <c r="D154" s="51">
        <v>735</v>
      </c>
      <c r="E154" s="51">
        <v>745</v>
      </c>
      <c r="F154" s="51">
        <v>759</v>
      </c>
      <c r="G154" s="51">
        <f>VLOOKUP(A154,[1]isc_report1C_2627_300926!$B$10:$J$272,9,FALSE)</f>
        <v>768</v>
      </c>
      <c r="H154" s="90">
        <f>G154-F154</f>
        <v>9</v>
      </c>
    </row>
    <row r="155" spans="1:8" ht="15" x14ac:dyDescent="0.4">
      <c r="A155" s="9" t="s">
        <v>167</v>
      </c>
      <c r="B155" s="51" t="s">
        <v>132</v>
      </c>
      <c r="C155" s="51">
        <v>763</v>
      </c>
      <c r="D155" s="51">
        <v>753</v>
      </c>
      <c r="E155" s="51">
        <v>746</v>
      </c>
      <c r="F155" s="51">
        <v>742</v>
      </c>
      <c r="G155" s="51">
        <f>VLOOKUP(A155,[1]isc_report1C_2627_300926!$B$10:$J$272,9,FALSE)</f>
        <v>738</v>
      </c>
      <c r="H155" s="90">
        <f>G155-F155</f>
        <v>-4</v>
      </c>
    </row>
    <row r="156" spans="1:8" ht="15" x14ac:dyDescent="0.4">
      <c r="A156" s="9" t="s">
        <v>173</v>
      </c>
      <c r="B156" s="51" t="s">
        <v>132</v>
      </c>
      <c r="C156" s="51">
        <v>687</v>
      </c>
      <c r="D156" s="51">
        <v>707</v>
      </c>
      <c r="E156" s="51">
        <v>699</v>
      </c>
      <c r="F156" s="51">
        <v>701</v>
      </c>
      <c r="G156" s="51">
        <f>VLOOKUP(A156,[1]isc_report1C_2627_300926!$B$10:$J$272,9,FALSE)</f>
        <v>704</v>
      </c>
      <c r="H156" s="90">
        <f>G156-F156</f>
        <v>3</v>
      </c>
    </row>
    <row r="157" spans="1:8" ht="15" x14ac:dyDescent="0.4">
      <c r="A157" s="9" t="s">
        <v>259</v>
      </c>
      <c r="B157" s="51" t="s">
        <v>155</v>
      </c>
      <c r="C157" s="51" t="s">
        <v>155</v>
      </c>
      <c r="D157" s="51" t="s">
        <v>155</v>
      </c>
      <c r="E157" s="51" t="s">
        <v>155</v>
      </c>
      <c r="F157" s="51">
        <v>643</v>
      </c>
      <c r="G157" s="51">
        <f>VLOOKUP(A157,[1]isc_report1C_2627_300926!$B$10:$J$272,9,FALSE)</f>
        <v>701</v>
      </c>
      <c r="H157" s="90">
        <f>G157-F157</f>
        <v>58</v>
      </c>
    </row>
    <row r="158" spans="1:8" ht="15" x14ac:dyDescent="0.4">
      <c r="A158" s="9" t="s">
        <v>160</v>
      </c>
      <c r="B158" s="51" t="s">
        <v>132</v>
      </c>
      <c r="C158" s="51">
        <v>180</v>
      </c>
      <c r="D158" s="51">
        <v>270</v>
      </c>
      <c r="E158" s="51">
        <v>428</v>
      </c>
      <c r="F158" s="51">
        <v>548</v>
      </c>
      <c r="G158" s="51">
        <f>VLOOKUP(A158,[1]isc_report1C_2627_300926!$B$10:$J$272,9,FALSE)</f>
        <v>677</v>
      </c>
      <c r="H158" s="90">
        <f>G158-F158</f>
        <v>129</v>
      </c>
    </row>
    <row r="159" spans="1:8" ht="15" x14ac:dyDescent="0.4">
      <c r="A159" s="9" t="s">
        <v>150</v>
      </c>
      <c r="B159" s="51" t="s">
        <v>132</v>
      </c>
      <c r="C159" s="51">
        <v>684</v>
      </c>
      <c r="D159" s="51">
        <v>681</v>
      </c>
      <c r="E159" s="51">
        <v>676</v>
      </c>
      <c r="F159" s="51">
        <v>667</v>
      </c>
      <c r="G159" s="51">
        <f>VLOOKUP(A159,[1]isc_report1C_2627_300926!$B$10:$J$272,9,FALSE)</f>
        <v>661</v>
      </c>
      <c r="H159" s="90">
        <f>G159-F159</f>
        <v>-6</v>
      </c>
    </row>
    <row r="160" spans="1:8" ht="15" x14ac:dyDescent="0.4">
      <c r="A160" s="9" t="s">
        <v>139</v>
      </c>
      <c r="B160" s="51">
        <v>527</v>
      </c>
      <c r="C160" s="51">
        <v>511</v>
      </c>
      <c r="D160" s="51">
        <v>503</v>
      </c>
      <c r="E160" s="51">
        <v>492</v>
      </c>
      <c r="F160" s="51">
        <v>485</v>
      </c>
      <c r="G160" s="51">
        <f>VLOOKUP(A160,[1]isc_report1C_2627_300926!$B$10:$J$272,9,FALSE)</f>
        <v>485</v>
      </c>
      <c r="H160" s="90">
        <f>G160-F160</f>
        <v>0</v>
      </c>
    </row>
    <row r="161" spans="1:8" ht="15" x14ac:dyDescent="0.4">
      <c r="A161" s="9" t="s">
        <v>199</v>
      </c>
      <c r="B161" s="51" t="s">
        <v>132</v>
      </c>
      <c r="C161" s="51" t="s">
        <v>132</v>
      </c>
      <c r="D161" s="51">
        <v>390</v>
      </c>
      <c r="E161" s="51">
        <v>394</v>
      </c>
      <c r="F161" s="51">
        <v>401</v>
      </c>
      <c r="G161" s="51">
        <f>VLOOKUP(A161,[1]isc_report1C_2627_300926!$B$10:$J$272,9,FALSE)</f>
        <v>406</v>
      </c>
      <c r="H161" s="90">
        <f>G161-F161</f>
        <v>5</v>
      </c>
    </row>
    <row r="162" spans="1:8" ht="15" x14ac:dyDescent="0.4">
      <c r="A162" s="9" t="s">
        <v>171</v>
      </c>
      <c r="B162" s="51" t="s">
        <v>132</v>
      </c>
      <c r="C162" s="51">
        <v>325</v>
      </c>
      <c r="D162" s="51">
        <v>323</v>
      </c>
      <c r="E162" s="51">
        <v>322</v>
      </c>
      <c r="F162" s="51">
        <v>328</v>
      </c>
      <c r="G162" s="51">
        <f>VLOOKUP(A162,[1]isc_report1C_2627_300926!$B$10:$J$272,9,FALSE)</f>
        <v>320</v>
      </c>
      <c r="H162" s="90">
        <f>G162-F162</f>
        <v>-8</v>
      </c>
    </row>
    <row r="163" spans="1:8" ht="15" x14ac:dyDescent="0.4">
      <c r="A163" s="9" t="s">
        <v>156</v>
      </c>
      <c r="B163" s="51" t="s">
        <v>132</v>
      </c>
      <c r="C163" s="51">
        <v>239</v>
      </c>
      <c r="D163" s="51">
        <v>241</v>
      </c>
      <c r="E163" s="51">
        <v>258</v>
      </c>
      <c r="F163" s="51">
        <v>254</v>
      </c>
      <c r="G163" s="51">
        <f>VLOOKUP(A163,[1]isc_report1C_2627_300926!$B$10:$J$272,9,FALSE)</f>
        <v>258</v>
      </c>
      <c r="H163" s="90">
        <f>G163-F163</f>
        <v>4</v>
      </c>
    </row>
    <row r="164" spans="1:8" ht="15" x14ac:dyDescent="0.4">
      <c r="A164" s="9" t="s">
        <v>154</v>
      </c>
      <c r="B164" s="51" t="s">
        <v>132</v>
      </c>
      <c r="C164" s="51">
        <v>227</v>
      </c>
      <c r="D164" s="51">
        <v>229</v>
      </c>
      <c r="E164" s="51">
        <v>236</v>
      </c>
      <c r="F164" s="51">
        <v>240</v>
      </c>
      <c r="G164" s="51">
        <f>VLOOKUP(A164,[1]isc_report1C_2627_300926!$B$10:$J$272,9,FALSE)</f>
        <v>237</v>
      </c>
      <c r="H164" s="90">
        <f>G164-F164</f>
        <v>-3</v>
      </c>
    </row>
    <row r="165" spans="1:8" ht="15" x14ac:dyDescent="0.4">
      <c r="A165" s="35" t="s">
        <v>154</v>
      </c>
      <c r="B165" s="36" t="s">
        <v>132</v>
      </c>
      <c r="C165" s="36">
        <v>227</v>
      </c>
      <c r="D165" s="36">
        <v>229</v>
      </c>
      <c r="E165" s="36">
        <v>236</v>
      </c>
      <c r="F165" s="91">
        <f>E165-D165</f>
        <v>7</v>
      </c>
      <c r="G165" s="51">
        <f>VLOOKUP(A165,[1]isc_report1C_2627_300926!$B$10:$J$272,9,FALSE)</f>
        <v>237</v>
      </c>
      <c r="H165" s="90">
        <f>G165-F165</f>
        <v>230</v>
      </c>
    </row>
    <row r="166" spans="1:8" ht="15" x14ac:dyDescent="0.4">
      <c r="A166" s="9" t="s">
        <v>177</v>
      </c>
      <c r="B166" s="51" t="s">
        <v>132</v>
      </c>
      <c r="C166" s="51">
        <v>189</v>
      </c>
      <c r="D166" s="51">
        <v>189</v>
      </c>
      <c r="E166" s="51">
        <v>187</v>
      </c>
      <c r="F166" s="51">
        <v>187</v>
      </c>
      <c r="G166" s="51">
        <f>VLOOKUP(A166,[1]isc_report1C_2627_300926!$B$10:$J$272,9,FALSE)</f>
        <v>185</v>
      </c>
      <c r="H166" s="90">
        <f>G166-F166</f>
        <v>-2</v>
      </c>
    </row>
    <row r="167" spans="1:8" ht="15" x14ac:dyDescent="0.4">
      <c r="A167" s="35" t="s">
        <v>177</v>
      </c>
      <c r="B167" s="36" t="s">
        <v>132</v>
      </c>
      <c r="C167" s="36">
        <v>189</v>
      </c>
      <c r="D167" s="36">
        <v>189</v>
      </c>
      <c r="E167" s="36">
        <v>187</v>
      </c>
      <c r="F167" s="91">
        <f>E167-D167</f>
        <v>-2</v>
      </c>
      <c r="G167" s="51">
        <f>VLOOKUP(A167,[1]isc_report1C_2627_300926!$B$10:$J$272,9,FALSE)</f>
        <v>185</v>
      </c>
      <c r="H167" s="90">
        <f>G167-F167</f>
        <v>187</v>
      </c>
    </row>
    <row r="168" spans="1:8" ht="15" x14ac:dyDescent="0.4">
      <c r="A168" s="9" t="s">
        <v>140</v>
      </c>
      <c r="B168" s="51">
        <v>181</v>
      </c>
      <c r="C168" s="51">
        <v>183</v>
      </c>
      <c r="D168" s="51">
        <v>182</v>
      </c>
      <c r="E168" s="51">
        <v>179</v>
      </c>
      <c r="F168" s="51">
        <v>182</v>
      </c>
      <c r="G168" s="51">
        <f>VLOOKUP(A168,[1]isc_report1C_2627_300926!$B$10:$J$272,9,FALSE)</f>
        <v>183</v>
      </c>
      <c r="H168" s="90">
        <f>G168-F168</f>
        <v>1</v>
      </c>
    </row>
    <row r="169" spans="1:8" ht="15" x14ac:dyDescent="0.4">
      <c r="A169" s="35" t="s">
        <v>140</v>
      </c>
      <c r="B169" s="36">
        <v>181</v>
      </c>
      <c r="C169" s="36">
        <v>183</v>
      </c>
      <c r="D169" s="36">
        <v>182</v>
      </c>
      <c r="E169" s="36">
        <v>179</v>
      </c>
      <c r="F169" s="91">
        <f>E169-D169</f>
        <v>-3</v>
      </c>
      <c r="G169" s="51">
        <f>VLOOKUP(A169,[1]isc_report1C_2627_300926!$B$10:$J$272,9,FALSE)</f>
        <v>183</v>
      </c>
      <c r="H169" s="90">
        <f>G169-F169</f>
        <v>186</v>
      </c>
    </row>
    <row r="170" spans="1:8" ht="15" x14ac:dyDescent="0.4">
      <c r="A170" s="9" t="s">
        <v>261</v>
      </c>
      <c r="B170" s="51" t="s">
        <v>155</v>
      </c>
      <c r="C170" s="51" t="s">
        <v>155</v>
      </c>
      <c r="D170" s="51" t="s">
        <v>155</v>
      </c>
      <c r="E170" s="51" t="s">
        <v>155</v>
      </c>
      <c r="F170" s="51">
        <v>173</v>
      </c>
      <c r="G170" s="51">
        <f>VLOOKUP(A170,[1]isc_report1C_2627_300926!$B$10:$J$272,9,FALSE)</f>
        <v>168</v>
      </c>
      <c r="H170" s="90">
        <f>G170-F170</f>
        <v>-5</v>
      </c>
    </row>
    <row r="171" spans="1:8" ht="15" x14ac:dyDescent="0.4">
      <c r="A171" s="9" t="s">
        <v>141</v>
      </c>
      <c r="B171" s="51">
        <v>144</v>
      </c>
      <c r="C171" s="51">
        <v>146</v>
      </c>
      <c r="D171" s="51">
        <v>146</v>
      </c>
      <c r="E171" s="51">
        <v>150</v>
      </c>
      <c r="F171" s="51">
        <v>153</v>
      </c>
      <c r="G171" s="51">
        <f>VLOOKUP(A171,[1]isc_report1C_2627_300926!$B$10:$J$272,9,FALSE)</f>
        <v>154</v>
      </c>
      <c r="H171" s="90">
        <f>G171-F171</f>
        <v>1</v>
      </c>
    </row>
    <row r="172" spans="1:8" ht="15" x14ac:dyDescent="0.4">
      <c r="A172" s="9" t="s">
        <v>165</v>
      </c>
      <c r="B172" s="51" t="s">
        <v>132</v>
      </c>
      <c r="C172" s="51">
        <v>78</v>
      </c>
      <c r="D172" s="51">
        <v>92</v>
      </c>
      <c r="E172" s="51">
        <v>109</v>
      </c>
      <c r="F172" s="51">
        <v>138</v>
      </c>
      <c r="G172" s="51">
        <f>VLOOKUP(A172,[1]isc_report1C_2627_300926!$B$10:$J$272,9,FALSE)</f>
        <v>154</v>
      </c>
      <c r="H172" s="90">
        <f>G172-F172</f>
        <v>16</v>
      </c>
    </row>
    <row r="173" spans="1:8" ht="15" x14ac:dyDescent="0.4">
      <c r="A173" s="35" t="s">
        <v>141</v>
      </c>
      <c r="B173" s="36">
        <v>144</v>
      </c>
      <c r="C173" s="36">
        <v>146</v>
      </c>
      <c r="D173" s="36">
        <v>146</v>
      </c>
      <c r="E173" s="36">
        <v>150</v>
      </c>
      <c r="F173" s="91">
        <f>E173-D173</f>
        <v>4</v>
      </c>
      <c r="G173" s="51">
        <f>VLOOKUP(A173,[1]isc_report1C_2627_300926!$B$10:$J$272,9,FALSE)</f>
        <v>154</v>
      </c>
      <c r="H173" s="90">
        <f>G173-F173</f>
        <v>150</v>
      </c>
    </row>
    <row r="174" spans="1:8" ht="15" x14ac:dyDescent="0.4">
      <c r="A174" s="35" t="s">
        <v>165</v>
      </c>
      <c r="B174" s="36" t="s">
        <v>132</v>
      </c>
      <c r="C174" s="36">
        <v>78</v>
      </c>
      <c r="D174" s="36">
        <v>92</v>
      </c>
      <c r="E174" s="36">
        <v>109</v>
      </c>
      <c r="F174" s="91">
        <f>E174-D174</f>
        <v>17</v>
      </c>
      <c r="G174" s="51">
        <f>VLOOKUP(A174,[1]isc_report1C_2627_300926!$B$10:$J$272,9,FALSE)</f>
        <v>154</v>
      </c>
      <c r="H174" s="90">
        <f>G174-F174</f>
        <v>137</v>
      </c>
    </row>
    <row r="175" spans="1:8" ht="15" x14ac:dyDescent="0.4">
      <c r="A175" s="9" t="s">
        <v>169</v>
      </c>
      <c r="B175" s="51" t="s">
        <v>132</v>
      </c>
      <c r="C175" s="51">
        <v>1</v>
      </c>
      <c r="D175" s="51">
        <v>0</v>
      </c>
      <c r="E175" s="51">
        <v>105</v>
      </c>
      <c r="F175" s="51">
        <v>105</v>
      </c>
      <c r="G175" s="51">
        <f>VLOOKUP(A175,[1]isc_report1C_2627_300926!$B$10:$J$272,9,FALSE)</f>
        <v>103</v>
      </c>
      <c r="H175" s="90">
        <f>G175-F175</f>
        <v>-2</v>
      </c>
    </row>
    <row r="176" spans="1:8" ht="15" x14ac:dyDescent="0.4">
      <c r="A176" s="35" t="s">
        <v>169</v>
      </c>
      <c r="B176" s="36" t="s">
        <v>132</v>
      </c>
      <c r="C176" s="36">
        <v>1</v>
      </c>
      <c r="D176" s="36">
        <v>0</v>
      </c>
      <c r="E176" s="36">
        <v>105</v>
      </c>
      <c r="F176" s="91">
        <f>E176-D176</f>
        <v>105</v>
      </c>
      <c r="G176" s="51">
        <f>VLOOKUP(A176,[1]isc_report1C_2627_300926!$B$10:$J$272,9,FALSE)</f>
        <v>103</v>
      </c>
      <c r="H176" s="90">
        <f>G176-F176</f>
        <v>-2</v>
      </c>
    </row>
    <row r="177" spans="1:8" ht="15" x14ac:dyDescent="0.4">
      <c r="A177" s="9" t="s">
        <v>143</v>
      </c>
      <c r="B177" s="51">
        <v>78</v>
      </c>
      <c r="C177" s="51">
        <v>78</v>
      </c>
      <c r="D177" s="51">
        <v>80</v>
      </c>
      <c r="E177" s="51">
        <v>76</v>
      </c>
      <c r="F177" s="51">
        <v>81</v>
      </c>
      <c r="G177" s="51">
        <f>VLOOKUP(A177,[1]isc_report1C_2627_300926!$B$10:$J$272,9,FALSE)</f>
        <v>80</v>
      </c>
      <c r="H177" s="90">
        <f>G177-F177</f>
        <v>-1</v>
      </c>
    </row>
    <row r="178" spans="1:8" ht="15" x14ac:dyDescent="0.4">
      <c r="A178" s="35" t="s">
        <v>143</v>
      </c>
      <c r="B178" s="36">
        <v>78</v>
      </c>
      <c r="C178" s="36">
        <v>78</v>
      </c>
      <c r="D178" s="36">
        <v>80</v>
      </c>
      <c r="E178" s="36">
        <v>76</v>
      </c>
      <c r="F178" s="91">
        <f>E178-D178</f>
        <v>-4</v>
      </c>
      <c r="G178" s="51">
        <f>VLOOKUP(A178,[1]isc_report1C_2627_300926!$B$10:$J$272,9,FALSE)</f>
        <v>80</v>
      </c>
      <c r="H178" s="90">
        <f>G178-F178</f>
        <v>84</v>
      </c>
    </row>
    <row r="179" spans="1:8" ht="15" x14ac:dyDescent="0.4">
      <c r="A179" s="9" t="s">
        <v>222</v>
      </c>
      <c r="B179" s="51" t="s">
        <v>155</v>
      </c>
      <c r="C179" s="51" t="s">
        <v>155</v>
      </c>
      <c r="D179" s="51" t="s">
        <v>155</v>
      </c>
      <c r="E179" s="51">
        <v>91</v>
      </c>
      <c r="F179" s="51">
        <v>87</v>
      </c>
      <c r="G179" s="51">
        <f>VLOOKUP(A179,[1]isc_report1C_2627_300926!$B$10:$J$272,9,FALSE)</f>
        <v>79</v>
      </c>
      <c r="H179" s="90">
        <f>G179-F179</f>
        <v>-8</v>
      </c>
    </row>
    <row r="180" spans="1:8" ht="15" x14ac:dyDescent="0.4">
      <c r="A180" s="35" t="s">
        <v>222</v>
      </c>
      <c r="B180" s="36" t="s">
        <v>155</v>
      </c>
      <c r="C180" s="36" t="s">
        <v>155</v>
      </c>
      <c r="D180" s="36" t="s">
        <v>155</v>
      </c>
      <c r="E180" s="36">
        <v>91</v>
      </c>
      <c r="F180" s="91"/>
      <c r="G180" s="51">
        <f>VLOOKUP(A180,[1]isc_report1C_2627_300926!$B$10:$J$272,9,FALSE)</f>
        <v>79</v>
      </c>
      <c r="H180" s="90">
        <f>G180-F180</f>
        <v>79</v>
      </c>
    </row>
    <row r="181" spans="1:8" ht="15" x14ac:dyDescent="0.4">
      <c r="A181" s="9" t="s">
        <v>144</v>
      </c>
      <c r="B181" s="51">
        <v>77</v>
      </c>
      <c r="C181" s="51">
        <v>77</v>
      </c>
      <c r="D181" s="51">
        <v>77</v>
      </c>
      <c r="E181" s="51">
        <v>79</v>
      </c>
      <c r="F181" s="51">
        <v>78</v>
      </c>
      <c r="G181" s="51">
        <f>VLOOKUP(A181,[1]isc_report1C_2627_300926!$B$10:$J$272,9,FALSE)</f>
        <v>77</v>
      </c>
      <c r="H181" s="90">
        <f>G181-F181</f>
        <v>-1</v>
      </c>
    </row>
    <row r="182" spans="1:8" ht="15" x14ac:dyDescent="0.4">
      <c r="A182" s="35" t="s">
        <v>144</v>
      </c>
      <c r="B182" s="36">
        <v>77</v>
      </c>
      <c r="C182" s="36">
        <v>77</v>
      </c>
      <c r="D182" s="36">
        <v>77</v>
      </c>
      <c r="E182" s="36">
        <v>79</v>
      </c>
      <c r="F182" s="91">
        <f>E182-D182</f>
        <v>2</v>
      </c>
      <c r="G182" s="51">
        <f>VLOOKUP(A182,[1]isc_report1C_2627_300926!$B$10:$J$272,9,FALSE)</f>
        <v>77</v>
      </c>
      <c r="H182" s="90">
        <f>G182-F182</f>
        <v>75</v>
      </c>
    </row>
    <row r="183" spans="1:8" ht="15" x14ac:dyDescent="0.4">
      <c r="A183" s="9" t="s">
        <v>145</v>
      </c>
      <c r="B183" s="51">
        <v>55</v>
      </c>
      <c r="C183" s="51">
        <v>58</v>
      </c>
      <c r="D183" s="51">
        <v>61</v>
      </c>
      <c r="E183" s="51">
        <v>68</v>
      </c>
      <c r="F183" s="51">
        <v>71</v>
      </c>
      <c r="G183" s="51">
        <f>VLOOKUP(A183,[1]isc_report1C_2627_300926!$B$10:$J$272,9,FALSE)</f>
        <v>70</v>
      </c>
      <c r="H183" s="90">
        <f>G183-F183</f>
        <v>-1</v>
      </c>
    </row>
    <row r="184" spans="1:8" ht="15" x14ac:dyDescent="0.4">
      <c r="A184" s="35" t="s">
        <v>145</v>
      </c>
      <c r="B184" s="36">
        <v>55</v>
      </c>
      <c r="C184" s="36">
        <v>58</v>
      </c>
      <c r="D184" s="36">
        <v>61</v>
      </c>
      <c r="E184" s="36">
        <v>68</v>
      </c>
      <c r="F184" s="91">
        <f>E184-D184</f>
        <v>7</v>
      </c>
      <c r="G184" s="51">
        <f>VLOOKUP(A184,[1]isc_report1C_2627_300926!$B$10:$J$272,9,FALSE)</f>
        <v>70</v>
      </c>
      <c r="H184" s="90">
        <f>G184-F184</f>
        <v>63</v>
      </c>
    </row>
    <row r="185" spans="1:8" ht="15" x14ac:dyDescent="0.4">
      <c r="A185" s="9" t="s">
        <v>142</v>
      </c>
      <c r="B185" s="51">
        <v>87</v>
      </c>
      <c r="C185" s="51">
        <v>85</v>
      </c>
      <c r="D185" s="51">
        <v>83</v>
      </c>
      <c r="E185" s="51">
        <v>77</v>
      </c>
      <c r="F185" s="51">
        <v>72</v>
      </c>
      <c r="G185" s="51">
        <f>VLOOKUP(A185,[1]isc_report1C_2627_300926!$B$10:$J$272,9,FALSE)</f>
        <v>59</v>
      </c>
      <c r="H185" s="90">
        <f>G185-F185</f>
        <v>-13</v>
      </c>
    </row>
    <row r="186" spans="1:8" ht="15" x14ac:dyDescent="0.4">
      <c r="A186" s="35" t="s">
        <v>142</v>
      </c>
      <c r="B186" s="36">
        <v>87</v>
      </c>
      <c r="C186" s="36">
        <v>85</v>
      </c>
      <c r="D186" s="36">
        <v>83</v>
      </c>
      <c r="E186" s="36">
        <v>77</v>
      </c>
      <c r="F186" s="91">
        <f>E186-D186</f>
        <v>-6</v>
      </c>
      <c r="G186" s="51">
        <f>VLOOKUP(A186,[1]isc_report1C_2627_300926!$B$10:$J$272,9,FALSE)</f>
        <v>59</v>
      </c>
      <c r="H186" s="90">
        <f>G186-F186</f>
        <v>65</v>
      </c>
    </row>
    <row r="187" spans="1:8" ht="15" x14ac:dyDescent="0.4">
      <c r="A187" s="9" t="s">
        <v>262</v>
      </c>
      <c r="B187" s="51" t="s">
        <v>155</v>
      </c>
      <c r="C187" s="51" t="s">
        <v>155</v>
      </c>
      <c r="D187" s="51" t="s">
        <v>155</v>
      </c>
      <c r="E187" s="51" t="s">
        <v>155</v>
      </c>
      <c r="F187" s="51">
        <v>56</v>
      </c>
      <c r="G187" s="51">
        <f>VLOOKUP(A187,[1]isc_report1C_2627_300926!$B$10:$J$272,9,FALSE)</f>
        <v>56</v>
      </c>
      <c r="H187" s="90">
        <f>G187-F187</f>
        <v>0</v>
      </c>
    </row>
    <row r="188" spans="1:8" ht="15" x14ac:dyDescent="0.4">
      <c r="A188" s="9" t="s">
        <v>146</v>
      </c>
      <c r="B188" s="51">
        <v>52</v>
      </c>
      <c r="C188" s="51">
        <v>51</v>
      </c>
      <c r="D188" s="51">
        <v>52</v>
      </c>
      <c r="E188" s="51">
        <v>53</v>
      </c>
      <c r="F188" s="51">
        <v>51</v>
      </c>
      <c r="G188" s="51">
        <f>VLOOKUP(A188,[1]isc_report1C_2627_300926!$B$10:$J$272,9,FALSE)</f>
        <v>51</v>
      </c>
      <c r="H188" s="90">
        <f>G188-F188</f>
        <v>0</v>
      </c>
    </row>
    <row r="189" spans="1:8" ht="15" x14ac:dyDescent="0.4">
      <c r="A189" s="35" t="s">
        <v>146</v>
      </c>
      <c r="B189" s="36">
        <v>52</v>
      </c>
      <c r="C189" s="36">
        <v>51</v>
      </c>
      <c r="D189" s="36">
        <v>52</v>
      </c>
      <c r="E189" s="36">
        <v>53</v>
      </c>
      <c r="F189" s="91">
        <f>E189-D189</f>
        <v>1</v>
      </c>
      <c r="G189" s="51">
        <f>VLOOKUP(A189,[1]isc_report1C_2627_300926!$B$10:$J$272,9,FALSE)</f>
        <v>51</v>
      </c>
      <c r="H189" s="90">
        <f>G189-F189</f>
        <v>50</v>
      </c>
    </row>
    <row r="190" spans="1:8" ht="15" x14ac:dyDescent="0.4">
      <c r="A190" s="9" t="s">
        <v>216</v>
      </c>
      <c r="B190" s="51" t="s">
        <v>155</v>
      </c>
      <c r="C190" s="51" t="s">
        <v>155</v>
      </c>
      <c r="D190" s="51" t="s">
        <v>155</v>
      </c>
      <c r="E190" s="51">
        <v>39</v>
      </c>
      <c r="F190" s="51">
        <v>41</v>
      </c>
      <c r="G190" s="51">
        <f>VLOOKUP(A190,[1]isc_report1C_2627_300926!$B$10:$J$272,9,FALSE)</f>
        <v>40</v>
      </c>
      <c r="H190" s="90">
        <f>G190-F190</f>
        <v>-1</v>
      </c>
    </row>
    <row r="191" spans="1:8" ht="15" x14ac:dyDescent="0.4">
      <c r="A191" s="35" t="s">
        <v>216</v>
      </c>
      <c r="B191" s="36" t="s">
        <v>155</v>
      </c>
      <c r="C191" s="36" t="s">
        <v>155</v>
      </c>
      <c r="D191" s="36" t="s">
        <v>155</v>
      </c>
      <c r="E191" s="36">
        <v>39</v>
      </c>
      <c r="F191" s="91"/>
      <c r="G191" s="51">
        <f>VLOOKUP(A191,[1]isc_report1C_2627_300926!$B$10:$J$272,9,FALSE)</f>
        <v>40</v>
      </c>
      <c r="H191" s="90">
        <f>G191-F191</f>
        <v>40</v>
      </c>
    </row>
    <row r="192" spans="1:8" ht="15" x14ac:dyDescent="0.4">
      <c r="A192" s="9" t="s">
        <v>202</v>
      </c>
      <c r="B192" s="51" t="s">
        <v>132</v>
      </c>
      <c r="C192" s="51" t="s">
        <v>132</v>
      </c>
      <c r="D192" s="51">
        <v>39</v>
      </c>
      <c r="E192" s="51">
        <v>37</v>
      </c>
      <c r="F192" s="51">
        <v>36</v>
      </c>
      <c r="G192" s="51">
        <f>VLOOKUP(A192,[1]isc_report1C_2627_300926!$B$10:$J$272,9,FALSE)</f>
        <v>36</v>
      </c>
      <c r="H192" s="90">
        <f>G192-F192</f>
        <v>0</v>
      </c>
    </row>
    <row r="193" spans="1:8" ht="15" x14ac:dyDescent="0.4">
      <c r="A193" s="35" t="s">
        <v>202</v>
      </c>
      <c r="B193" s="36" t="s">
        <v>132</v>
      </c>
      <c r="C193" s="36" t="s">
        <v>132</v>
      </c>
      <c r="D193" s="36">
        <v>39</v>
      </c>
      <c r="E193" s="36">
        <v>37</v>
      </c>
      <c r="F193" s="91">
        <f>E193-D193</f>
        <v>-2</v>
      </c>
      <c r="G193" s="51">
        <f>VLOOKUP(A193,[1]isc_report1C_2627_300926!$B$10:$J$272,9,FALSE)</f>
        <v>36</v>
      </c>
      <c r="H193" s="90">
        <f>G193-F193</f>
        <v>38</v>
      </c>
    </row>
    <row r="194" spans="1:8" ht="15" x14ac:dyDescent="0.4">
      <c r="A194" s="9" t="s">
        <v>214</v>
      </c>
      <c r="B194" s="51" t="s">
        <v>155</v>
      </c>
      <c r="C194" s="51" t="s">
        <v>155</v>
      </c>
      <c r="D194" s="51" t="s">
        <v>155</v>
      </c>
      <c r="E194" s="51">
        <v>33</v>
      </c>
      <c r="F194" s="51">
        <v>33</v>
      </c>
      <c r="G194" s="51">
        <f>VLOOKUP(A194,[1]isc_report1C_2627_300926!$B$10:$J$272,9,FALSE)</f>
        <v>33</v>
      </c>
      <c r="H194" s="90">
        <f>G194-F194</f>
        <v>0</v>
      </c>
    </row>
    <row r="195" spans="1:8" ht="15" x14ac:dyDescent="0.4">
      <c r="A195" s="35" t="s">
        <v>214</v>
      </c>
      <c r="B195" s="36" t="s">
        <v>155</v>
      </c>
      <c r="C195" s="36" t="s">
        <v>155</v>
      </c>
      <c r="D195" s="36" t="s">
        <v>155</v>
      </c>
      <c r="E195" s="36">
        <v>33</v>
      </c>
      <c r="F195" s="91"/>
      <c r="G195" s="51">
        <f>VLOOKUP(A195,[1]isc_report1C_2627_300926!$B$10:$J$272,9,FALSE)</f>
        <v>33</v>
      </c>
      <c r="H195" s="90">
        <f>G195-F195</f>
        <v>33</v>
      </c>
    </row>
    <row r="196" spans="1:8" ht="15" x14ac:dyDescent="0.4">
      <c r="A196" s="9" t="s">
        <v>153</v>
      </c>
      <c r="B196" s="51" t="s">
        <v>132</v>
      </c>
      <c r="C196" s="51">
        <v>4</v>
      </c>
      <c r="D196" s="51">
        <v>14</v>
      </c>
      <c r="E196" s="51">
        <v>19</v>
      </c>
      <c r="F196" s="51">
        <v>23</v>
      </c>
      <c r="G196" s="51">
        <f>VLOOKUP(A196,[1]isc_report1C_2627_300926!$B$10:$J$272,9,FALSE)</f>
        <v>26</v>
      </c>
      <c r="H196" s="90">
        <f>G196-F196</f>
        <v>3</v>
      </c>
    </row>
    <row r="197" spans="1:8" ht="15" x14ac:dyDescent="0.4">
      <c r="A197" s="35" t="s">
        <v>153</v>
      </c>
      <c r="B197" s="36" t="s">
        <v>132</v>
      </c>
      <c r="C197" s="36">
        <v>4</v>
      </c>
      <c r="D197" s="36">
        <v>14</v>
      </c>
      <c r="E197" s="36">
        <v>19</v>
      </c>
      <c r="F197" s="91">
        <f>E197-D197</f>
        <v>5</v>
      </c>
      <c r="G197" s="51">
        <f>VLOOKUP(A197,[1]isc_report1C_2627_300926!$B$10:$J$272,9,FALSE)</f>
        <v>26</v>
      </c>
      <c r="H197" s="90">
        <f>G197-F197</f>
        <v>21</v>
      </c>
    </row>
    <row r="198" spans="1:8" ht="15" x14ac:dyDescent="0.4">
      <c r="A198" s="9" t="s">
        <v>166</v>
      </c>
      <c r="B198" s="51" t="s">
        <v>132</v>
      </c>
      <c r="C198" s="51">
        <v>21</v>
      </c>
      <c r="D198" s="51">
        <v>21</v>
      </c>
      <c r="E198" s="51">
        <v>21</v>
      </c>
      <c r="F198" s="51">
        <v>20</v>
      </c>
      <c r="G198" s="51">
        <f>VLOOKUP(A198,[1]isc_report1C_2627_300926!$B$10:$J$272,9,FALSE)</f>
        <v>20</v>
      </c>
      <c r="H198" s="90">
        <f>G198-F198</f>
        <v>0</v>
      </c>
    </row>
    <row r="199" spans="1:8" ht="15" x14ac:dyDescent="0.4">
      <c r="A199" s="9" t="s">
        <v>147</v>
      </c>
      <c r="B199" s="51">
        <v>13</v>
      </c>
      <c r="C199" s="51">
        <v>14</v>
      </c>
      <c r="D199" s="51">
        <v>15</v>
      </c>
      <c r="E199" s="51">
        <v>15</v>
      </c>
      <c r="F199" s="51">
        <v>20</v>
      </c>
      <c r="G199" s="51">
        <f>VLOOKUP(A199,[1]isc_report1C_2627_300926!$B$10:$J$272,9,FALSE)</f>
        <v>20</v>
      </c>
      <c r="H199" s="90">
        <f>G199-F199</f>
        <v>0</v>
      </c>
    </row>
    <row r="200" spans="1:8" ht="15" x14ac:dyDescent="0.4">
      <c r="A200" s="35" t="s">
        <v>166</v>
      </c>
      <c r="B200" s="36" t="s">
        <v>132</v>
      </c>
      <c r="C200" s="36">
        <v>21</v>
      </c>
      <c r="D200" s="36">
        <v>21</v>
      </c>
      <c r="E200" s="36">
        <v>21</v>
      </c>
      <c r="F200" s="91">
        <f>E200-D200</f>
        <v>0</v>
      </c>
      <c r="G200" s="51">
        <f>VLOOKUP(A200,[1]isc_report1C_2627_300926!$B$10:$J$272,9,FALSE)</f>
        <v>20</v>
      </c>
      <c r="H200" s="90">
        <f>G200-F200</f>
        <v>20</v>
      </c>
    </row>
    <row r="201" spans="1:8" ht="15" x14ac:dyDescent="0.4">
      <c r="A201" s="35" t="s">
        <v>147</v>
      </c>
      <c r="B201" s="36">
        <v>13</v>
      </c>
      <c r="C201" s="36">
        <v>14</v>
      </c>
      <c r="D201" s="36">
        <v>15</v>
      </c>
      <c r="E201" s="36">
        <v>15</v>
      </c>
      <c r="F201" s="91">
        <f>E201-D201</f>
        <v>0</v>
      </c>
      <c r="G201" s="51">
        <f>VLOOKUP(A201,[1]isc_report1C_2627_300926!$B$10:$J$272,9,FALSE)</f>
        <v>20</v>
      </c>
      <c r="H201" s="90">
        <f>G201-F201</f>
        <v>20</v>
      </c>
    </row>
    <row r="202" spans="1:8" ht="15" x14ac:dyDescent="0.4">
      <c r="A202" s="9" t="s">
        <v>196</v>
      </c>
      <c r="B202" s="51" t="s">
        <v>132</v>
      </c>
      <c r="C202" s="51" t="s">
        <v>132</v>
      </c>
      <c r="D202" s="51">
        <v>5</v>
      </c>
      <c r="E202" s="51">
        <v>5</v>
      </c>
      <c r="F202" s="51">
        <v>6</v>
      </c>
      <c r="G202" s="51">
        <f>VLOOKUP(A202,[1]isc_report1C_2627_300926!$B$10:$J$272,9,FALSE)</f>
        <v>6</v>
      </c>
      <c r="H202" s="90">
        <f>G202-F202</f>
        <v>0</v>
      </c>
    </row>
    <row r="203" spans="1:8" ht="15" x14ac:dyDescent="0.4">
      <c r="A203" s="35" t="s">
        <v>196</v>
      </c>
      <c r="B203" s="36" t="s">
        <v>132</v>
      </c>
      <c r="C203" s="36" t="s">
        <v>132</v>
      </c>
      <c r="D203" s="36">
        <v>5</v>
      </c>
      <c r="E203" s="36">
        <v>5</v>
      </c>
      <c r="F203" s="91">
        <f>E203-D203</f>
        <v>0</v>
      </c>
      <c r="G203" s="51">
        <f>VLOOKUP(A203,[1]isc_report1C_2627_300926!$B$10:$J$272,9,FALSE)</f>
        <v>6</v>
      </c>
      <c r="H203" s="90">
        <f>G203-F203</f>
        <v>6</v>
      </c>
    </row>
    <row r="204" spans="1:8" ht="15" x14ac:dyDescent="0.4">
      <c r="A204" s="9" t="s">
        <v>194</v>
      </c>
      <c r="B204" s="51" t="s">
        <v>132</v>
      </c>
      <c r="C204" s="51" t="s">
        <v>132</v>
      </c>
      <c r="D204" s="51">
        <v>1953</v>
      </c>
      <c r="E204" s="51">
        <v>1481</v>
      </c>
      <c r="F204" s="51">
        <v>1076</v>
      </c>
      <c r="G204" s="51">
        <f>VLOOKUP(A204,[1]isc_report1C_2627_300926!$B$10:$J$272,9,FALSE)</f>
        <v>1</v>
      </c>
      <c r="H204" s="90">
        <f>G204-F204</f>
        <v>-1075</v>
      </c>
    </row>
    <row r="205" spans="1:8" ht="15" x14ac:dyDescent="0.4">
      <c r="A205" s="9" t="s">
        <v>148</v>
      </c>
      <c r="B205" s="51">
        <v>1</v>
      </c>
      <c r="C205" s="51">
        <v>1</v>
      </c>
      <c r="D205" s="51">
        <v>1</v>
      </c>
      <c r="E205" s="51">
        <v>1</v>
      </c>
      <c r="F205" s="51">
        <v>1</v>
      </c>
      <c r="G205" s="51">
        <f>VLOOKUP(A205,[1]isc_report1C_2627_300926!$B$10:$J$272,9,FALSE)</f>
        <v>1</v>
      </c>
      <c r="H205" s="90">
        <f>G205-F205</f>
        <v>0</v>
      </c>
    </row>
    <row r="206" spans="1:8" ht="15" x14ac:dyDescent="0.4">
      <c r="A206" s="9" t="s">
        <v>149</v>
      </c>
      <c r="B206" s="51">
        <v>1</v>
      </c>
      <c r="C206" s="51">
        <v>1</v>
      </c>
      <c r="D206" s="51">
        <v>1</v>
      </c>
      <c r="E206" s="51">
        <v>1</v>
      </c>
      <c r="F206" s="51">
        <v>1</v>
      </c>
      <c r="G206" s="51">
        <f>VLOOKUP(A206,[1]isc_report1C_2627_300926!$B$10:$J$272,9,FALSE)</f>
        <v>1</v>
      </c>
      <c r="H206" s="90">
        <f>G206-F206</f>
        <v>0</v>
      </c>
    </row>
    <row r="207" spans="1:8" ht="15" x14ac:dyDescent="0.4">
      <c r="A207" s="9" t="s">
        <v>151</v>
      </c>
      <c r="B207" s="51" t="s">
        <v>132</v>
      </c>
      <c r="C207" s="51">
        <v>1</v>
      </c>
      <c r="D207" s="51">
        <v>1</v>
      </c>
      <c r="E207" s="51">
        <v>1</v>
      </c>
      <c r="F207" s="51">
        <v>1</v>
      </c>
      <c r="G207" s="51">
        <f>VLOOKUP(A207,[1]isc_report1C_2627_300926!$B$10:$J$272,9,FALSE)</f>
        <v>1</v>
      </c>
      <c r="H207" s="90">
        <f>G207-F207</f>
        <v>0</v>
      </c>
    </row>
    <row r="208" spans="1:8" ht="15" x14ac:dyDescent="0.4">
      <c r="A208" s="9" t="s">
        <v>182</v>
      </c>
      <c r="B208" s="51" t="s">
        <v>132</v>
      </c>
      <c r="C208" s="51" t="s">
        <v>132</v>
      </c>
      <c r="D208" s="51">
        <v>1</v>
      </c>
      <c r="E208" s="51">
        <v>1</v>
      </c>
      <c r="F208" s="51">
        <v>1</v>
      </c>
      <c r="G208" s="51">
        <f>VLOOKUP(A208,[1]isc_report1C_2627_300926!$B$10:$J$272,9,FALSE)</f>
        <v>1</v>
      </c>
      <c r="H208" s="90">
        <f>G208-F208</f>
        <v>0</v>
      </c>
    </row>
    <row r="209" spans="1:8" ht="15" x14ac:dyDescent="0.4">
      <c r="A209" s="9" t="s">
        <v>189</v>
      </c>
      <c r="B209" s="51" t="s">
        <v>132</v>
      </c>
      <c r="C209" s="51" t="s">
        <v>132</v>
      </c>
      <c r="D209" s="51">
        <v>1</v>
      </c>
      <c r="E209" s="51">
        <v>1</v>
      </c>
      <c r="F209" s="51">
        <v>1</v>
      </c>
      <c r="G209" s="51">
        <f>VLOOKUP(A209,[1]isc_report1C_2627_300926!$B$10:$J$272,9,FALSE)</f>
        <v>1</v>
      </c>
      <c r="H209" s="90">
        <f>G209-F209</f>
        <v>0</v>
      </c>
    </row>
    <row r="210" spans="1:8" ht="15" x14ac:dyDescent="0.4">
      <c r="A210" s="9" t="s">
        <v>201</v>
      </c>
      <c r="B210" s="51" t="s">
        <v>132</v>
      </c>
      <c r="C210" s="51" t="s">
        <v>132</v>
      </c>
      <c r="D210" s="51">
        <v>1</v>
      </c>
      <c r="E210" s="51">
        <v>1</v>
      </c>
      <c r="F210" s="51">
        <v>1</v>
      </c>
      <c r="G210" s="51">
        <f>VLOOKUP(A210,[1]isc_report1C_2627_300926!$B$10:$J$272,9,FALSE)</f>
        <v>1</v>
      </c>
      <c r="H210" s="90">
        <f>G210-F210</f>
        <v>0</v>
      </c>
    </row>
    <row r="211" spans="1:8" ht="15" x14ac:dyDescent="0.4">
      <c r="A211" s="9" t="s">
        <v>203</v>
      </c>
      <c r="B211" s="51" t="s">
        <v>132</v>
      </c>
      <c r="C211" s="51" t="s">
        <v>132</v>
      </c>
      <c r="D211" s="51">
        <v>1</v>
      </c>
      <c r="E211" s="51">
        <v>1</v>
      </c>
      <c r="F211" s="51">
        <v>1</v>
      </c>
      <c r="G211" s="51">
        <f>VLOOKUP(A211,[1]isc_report1C_2627_300926!$B$10:$J$272,9,FALSE)</f>
        <v>1</v>
      </c>
      <c r="H211" s="90">
        <f>G211-F211</f>
        <v>0</v>
      </c>
    </row>
    <row r="212" spans="1:8" ht="15" x14ac:dyDescent="0.4">
      <c r="A212" s="9" t="s">
        <v>209</v>
      </c>
      <c r="B212" s="51" t="s">
        <v>155</v>
      </c>
      <c r="C212" s="51" t="s">
        <v>155</v>
      </c>
      <c r="D212" s="51" t="s">
        <v>155</v>
      </c>
      <c r="E212" s="51">
        <v>1</v>
      </c>
      <c r="F212" s="51">
        <v>1</v>
      </c>
      <c r="G212" s="51">
        <f>VLOOKUP(A212,[1]isc_report1C_2627_300926!$B$10:$J$272,9,FALSE)</f>
        <v>1</v>
      </c>
      <c r="H212" s="90">
        <f>G212-F212</f>
        <v>0</v>
      </c>
    </row>
    <row r="213" spans="1:8" ht="15" x14ac:dyDescent="0.4">
      <c r="A213" s="35" t="s">
        <v>148</v>
      </c>
      <c r="B213" s="36">
        <v>1</v>
      </c>
      <c r="C213" s="36">
        <v>1</v>
      </c>
      <c r="D213" s="36">
        <v>1</v>
      </c>
      <c r="E213" s="36">
        <v>1</v>
      </c>
      <c r="F213" s="91">
        <f>E213-D213</f>
        <v>0</v>
      </c>
      <c r="G213" s="51">
        <f>VLOOKUP(A213,[1]isc_report1C_2627_300926!$B$10:$J$272,9,FALSE)</f>
        <v>1</v>
      </c>
      <c r="H213" s="90">
        <f>G213-F213</f>
        <v>1</v>
      </c>
    </row>
    <row r="214" spans="1:8" ht="15" x14ac:dyDescent="0.4">
      <c r="A214" s="35" t="s">
        <v>149</v>
      </c>
      <c r="B214" s="36">
        <v>1</v>
      </c>
      <c r="C214" s="36">
        <v>1</v>
      </c>
      <c r="D214" s="36">
        <v>1</v>
      </c>
      <c r="E214" s="36">
        <v>1</v>
      </c>
      <c r="F214" s="91">
        <f>E214-D214</f>
        <v>0</v>
      </c>
      <c r="G214" s="51">
        <f>VLOOKUP(A214,[1]isc_report1C_2627_300926!$B$10:$J$272,9,FALSE)</f>
        <v>1</v>
      </c>
      <c r="H214" s="90">
        <f>G214-F214</f>
        <v>1</v>
      </c>
    </row>
    <row r="215" spans="1:8" ht="15" x14ac:dyDescent="0.4">
      <c r="A215" s="35" t="s">
        <v>151</v>
      </c>
      <c r="B215" s="36" t="s">
        <v>132</v>
      </c>
      <c r="C215" s="36">
        <v>1</v>
      </c>
      <c r="D215" s="36">
        <v>1</v>
      </c>
      <c r="E215" s="36">
        <v>1</v>
      </c>
      <c r="F215" s="91">
        <f>E215-D215</f>
        <v>0</v>
      </c>
      <c r="G215" s="51">
        <f>VLOOKUP(A215,[1]isc_report1C_2627_300926!$B$10:$J$272,9,FALSE)</f>
        <v>1</v>
      </c>
      <c r="H215" s="90">
        <f>G215-F215</f>
        <v>1</v>
      </c>
    </row>
    <row r="216" spans="1:8" ht="15" x14ac:dyDescent="0.4">
      <c r="A216" s="35" t="s">
        <v>182</v>
      </c>
      <c r="B216" s="36" t="s">
        <v>132</v>
      </c>
      <c r="C216" s="36" t="s">
        <v>132</v>
      </c>
      <c r="D216" s="36">
        <v>1</v>
      </c>
      <c r="E216" s="36">
        <v>1</v>
      </c>
      <c r="F216" s="91">
        <f>E216-D216</f>
        <v>0</v>
      </c>
      <c r="G216" s="51">
        <f>VLOOKUP(A216,[1]isc_report1C_2627_300926!$B$10:$J$272,9,FALSE)</f>
        <v>1</v>
      </c>
      <c r="H216" s="90">
        <f>G216-F216</f>
        <v>1</v>
      </c>
    </row>
    <row r="217" spans="1:8" ht="15" x14ac:dyDescent="0.4">
      <c r="A217" s="35" t="s">
        <v>189</v>
      </c>
      <c r="B217" s="36" t="s">
        <v>132</v>
      </c>
      <c r="C217" s="36" t="s">
        <v>132</v>
      </c>
      <c r="D217" s="36">
        <v>1</v>
      </c>
      <c r="E217" s="36">
        <v>1</v>
      </c>
      <c r="F217" s="91">
        <f>E217-D217</f>
        <v>0</v>
      </c>
      <c r="G217" s="51">
        <f>VLOOKUP(A217,[1]isc_report1C_2627_300926!$B$10:$J$272,9,FALSE)</f>
        <v>1</v>
      </c>
      <c r="H217" s="90">
        <f>G217-F217</f>
        <v>1</v>
      </c>
    </row>
    <row r="218" spans="1:8" ht="15" x14ac:dyDescent="0.4">
      <c r="A218" s="35" t="s">
        <v>201</v>
      </c>
      <c r="B218" s="36" t="s">
        <v>132</v>
      </c>
      <c r="C218" s="36" t="s">
        <v>132</v>
      </c>
      <c r="D218" s="36">
        <v>1</v>
      </c>
      <c r="E218" s="36">
        <v>1</v>
      </c>
      <c r="F218" s="91">
        <f>E218-D218</f>
        <v>0</v>
      </c>
      <c r="G218" s="51">
        <f>VLOOKUP(A218,[1]isc_report1C_2627_300926!$B$10:$J$272,9,FALSE)</f>
        <v>1</v>
      </c>
      <c r="H218" s="90">
        <f>G218-F218</f>
        <v>1</v>
      </c>
    </row>
    <row r="219" spans="1:8" ht="15" x14ac:dyDescent="0.4">
      <c r="A219" s="35" t="s">
        <v>203</v>
      </c>
      <c r="B219" s="36" t="s">
        <v>132</v>
      </c>
      <c r="C219" s="36" t="s">
        <v>132</v>
      </c>
      <c r="D219" s="36">
        <v>1</v>
      </c>
      <c r="E219" s="36">
        <v>1</v>
      </c>
      <c r="F219" s="91">
        <f>E219-D219</f>
        <v>0</v>
      </c>
      <c r="G219" s="51">
        <f>VLOOKUP(A219,[1]isc_report1C_2627_300926!$B$10:$J$272,9,FALSE)</f>
        <v>1</v>
      </c>
      <c r="H219" s="90">
        <f>G219-F219</f>
        <v>1</v>
      </c>
    </row>
    <row r="220" spans="1:8" ht="15" x14ac:dyDescent="0.4">
      <c r="A220" s="35" t="s">
        <v>209</v>
      </c>
      <c r="B220" s="36" t="s">
        <v>155</v>
      </c>
      <c r="C220" s="36" t="s">
        <v>155</v>
      </c>
      <c r="D220" s="36" t="s">
        <v>155</v>
      </c>
      <c r="E220" s="36">
        <v>1</v>
      </c>
      <c r="F220" s="91"/>
      <c r="G220" s="51">
        <f>VLOOKUP(A220,[1]isc_report1C_2627_300926!$B$10:$J$272,9,FALSE)</f>
        <v>1</v>
      </c>
      <c r="H220" s="90">
        <f>G220-F220</f>
        <v>1</v>
      </c>
    </row>
    <row r="221" spans="1:8" ht="15" x14ac:dyDescent="0.4">
      <c r="A221" s="9" t="s">
        <v>249</v>
      </c>
      <c r="B221" s="51" t="s">
        <v>155</v>
      </c>
      <c r="C221" s="51" t="s">
        <v>155</v>
      </c>
      <c r="D221" s="51" t="s">
        <v>155</v>
      </c>
      <c r="E221" s="51" t="s">
        <v>155</v>
      </c>
      <c r="F221" s="51" t="s">
        <v>155</v>
      </c>
      <c r="G221" s="51">
        <v>0</v>
      </c>
      <c r="H221" s="90" t="e">
        <f>G221-F221</f>
        <v>#VALUE!</v>
      </c>
    </row>
    <row r="222" spans="1:8" ht="15" x14ac:dyDescent="0.4">
      <c r="A222" s="9" t="s">
        <v>260</v>
      </c>
      <c r="B222" s="51" t="s">
        <v>155</v>
      </c>
      <c r="C222" s="51" t="s">
        <v>155</v>
      </c>
      <c r="D222" s="51" t="s">
        <v>155</v>
      </c>
      <c r="E222" s="51" t="s">
        <v>155</v>
      </c>
      <c r="F222" s="51">
        <v>178</v>
      </c>
      <c r="G222" s="51">
        <v>0</v>
      </c>
      <c r="H222" s="90">
        <f>G222-F222</f>
        <v>-178</v>
      </c>
    </row>
    <row r="223" spans="1:8" ht="15" x14ac:dyDescent="0.4">
      <c r="A223" s="35" t="s">
        <v>206</v>
      </c>
      <c r="B223" s="36">
        <v>0</v>
      </c>
      <c r="C223" s="36">
        <v>0</v>
      </c>
      <c r="D223" s="36">
        <v>0</v>
      </c>
      <c r="E223" s="36">
        <v>0</v>
      </c>
      <c r="F223" s="91">
        <f>E223-D223</f>
        <v>0</v>
      </c>
      <c r="G223" s="51">
        <v>0</v>
      </c>
      <c r="H223" s="90">
        <v>0</v>
      </c>
    </row>
    <row r="224" spans="1:8" x14ac:dyDescent="0.35">
      <c r="A224" s="35"/>
      <c r="B224" s="36"/>
      <c r="C224" s="36"/>
      <c r="D224" s="36"/>
      <c r="E224" s="36"/>
      <c r="F224" s="35"/>
      <c r="G224" s="35"/>
      <c r="H224" s="35"/>
    </row>
    <row r="225" spans="1:8" x14ac:dyDescent="0.35">
      <c r="A225" s="37" t="s">
        <v>207</v>
      </c>
      <c r="B225" s="38">
        <v>43986509</v>
      </c>
      <c r="C225" s="38">
        <v>44236861</v>
      </c>
      <c r="D225" s="38">
        <v>44237758</v>
      </c>
      <c r="E225" s="38">
        <f>SUM(E3:E223)</f>
        <v>44368473</v>
      </c>
      <c r="F225" s="92">
        <f>SUM(F3:F223)</f>
        <v>44926732</v>
      </c>
      <c r="G225" s="92">
        <f>SUM(G3:G223)</f>
        <v>45081931</v>
      </c>
      <c r="H225" s="35"/>
    </row>
    <row r="226" spans="1:8" x14ac:dyDescent="0.35">
      <c r="A226" s="39" t="s">
        <v>208</v>
      </c>
      <c r="B226" s="40">
        <v>1778504</v>
      </c>
      <c r="C226" s="40">
        <v>1356333</v>
      </c>
      <c r="D226" s="40">
        <v>1218372</v>
      </c>
      <c r="E226" s="40">
        <f>E227-E225</f>
        <v>1079295</v>
      </c>
      <c r="F226" s="88">
        <f>F227-F225</f>
        <v>1034455</v>
      </c>
      <c r="G226" s="88">
        <f>G227-G225</f>
        <v>1038926</v>
      </c>
      <c r="H226" s="35"/>
    </row>
    <row r="227" spans="1:8" x14ac:dyDescent="0.35">
      <c r="A227" s="37" t="s">
        <v>207</v>
      </c>
      <c r="B227" s="38">
        <v>45765013</v>
      </c>
      <c r="C227" s="38">
        <v>45593194</v>
      </c>
      <c r="D227" s="38">
        <v>45456130</v>
      </c>
      <c r="E227" s="42">
        <v>45447768</v>
      </c>
      <c r="F227" s="93">
        <v>45961187</v>
      </c>
      <c r="G227" s="35">
        <v>46120857</v>
      </c>
      <c r="H227" s="35"/>
    </row>
    <row r="228" spans="1:8" x14ac:dyDescent="0.35">
      <c r="E228" s="41"/>
    </row>
  </sheetData>
  <autoFilter ref="A2:J2" xr:uid="{AE5E491D-B1C0-4BC7-8980-E45A8D5BD9FD}">
    <sortState xmlns:xlrd2="http://schemas.microsoft.com/office/spreadsheetml/2017/richdata2" ref="A3:J223">
      <sortCondition descending="1" ref="G2"/>
    </sortState>
  </autoFilter>
  <conditionalFormatting sqref="F195:F223">
    <cfRule type="aboveAverage" priority="6"/>
  </conditionalFormatting>
  <conditionalFormatting sqref="F226:G226">
    <cfRule type="duplicateValues" dxfId="4" priority="5" stopIfTrue="1"/>
  </conditionalFormatting>
  <conditionalFormatting sqref="H1:H223">
    <cfRule type="cellIs" dxfId="3" priority="1" operator="greaterThan">
      <formula>8000</formula>
    </cfRule>
    <cfRule type="cellIs" dxfId="2" priority="2" operator="greaterThan">
      <formula>10000</formula>
    </cfRule>
    <cfRule type="cellIs" dxfId="1" priority="3" operator="lessThan">
      <formula>0</formula>
    </cfRule>
    <cfRule type="cellIs" dxfId="0" priority="4" operator="greaterThan">
      <formula>20000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B83C3-4903-4BDF-A5AF-171FED5CA56F}">
  <dimension ref="A1:C16"/>
  <sheetViews>
    <sheetView workbookViewId="0">
      <selection activeCell="H12" sqref="H12"/>
    </sheetView>
  </sheetViews>
  <sheetFormatPr defaultRowHeight="14.5" x14ac:dyDescent="0.35"/>
  <cols>
    <col min="2" max="2" width="39.36328125" customWidth="1"/>
    <col min="3" max="3" width="12.1796875" bestFit="1" customWidth="1"/>
  </cols>
  <sheetData>
    <row r="1" spans="1:3" ht="16" x14ac:dyDescent="0.4">
      <c r="A1" s="59" t="s">
        <v>267</v>
      </c>
      <c r="B1" s="59" t="s">
        <v>268</v>
      </c>
      <c r="C1" s="59" t="s">
        <v>269</v>
      </c>
    </row>
    <row r="2" spans="1:3" ht="34" customHeight="1" x14ac:dyDescent="0.35">
      <c r="A2">
        <v>1</v>
      </c>
      <c r="B2" s="58" t="s">
        <v>270</v>
      </c>
      <c r="C2" t="s">
        <v>271</v>
      </c>
    </row>
    <row r="3" spans="1:3" x14ac:dyDescent="0.35">
      <c r="A3">
        <v>2</v>
      </c>
      <c r="B3" t="s">
        <v>272</v>
      </c>
      <c r="C3" t="s">
        <v>273</v>
      </c>
    </row>
    <row r="4" spans="1:3" x14ac:dyDescent="0.35">
      <c r="A4">
        <v>3</v>
      </c>
      <c r="B4" t="s">
        <v>274</v>
      </c>
      <c r="C4" t="s">
        <v>275</v>
      </c>
    </row>
    <row r="5" spans="1:3" x14ac:dyDescent="0.35">
      <c r="A5">
        <v>4</v>
      </c>
      <c r="B5" t="s">
        <v>165</v>
      </c>
      <c r="C5" t="s">
        <v>276</v>
      </c>
    </row>
    <row r="6" spans="1:3" x14ac:dyDescent="0.35">
      <c r="A6">
        <v>5</v>
      </c>
      <c r="B6" t="s">
        <v>277</v>
      </c>
      <c r="C6" t="s">
        <v>278</v>
      </c>
    </row>
    <row r="7" spans="1:3" x14ac:dyDescent="0.35">
      <c r="A7">
        <v>6</v>
      </c>
      <c r="B7" t="s">
        <v>279</v>
      </c>
      <c r="C7" t="s">
        <v>280</v>
      </c>
    </row>
    <row r="8" spans="1:3" x14ac:dyDescent="0.35">
      <c r="A8">
        <v>7</v>
      </c>
      <c r="B8" t="s">
        <v>281</v>
      </c>
      <c r="C8" t="s">
        <v>282</v>
      </c>
    </row>
    <row r="9" spans="1:3" x14ac:dyDescent="0.35">
      <c r="A9">
        <v>8</v>
      </c>
      <c r="B9" t="s">
        <v>283</v>
      </c>
      <c r="C9" t="s">
        <v>284</v>
      </c>
    </row>
    <row r="10" spans="1:3" x14ac:dyDescent="0.35">
      <c r="A10">
        <v>9</v>
      </c>
      <c r="B10" t="s">
        <v>285</v>
      </c>
      <c r="C10" t="s">
        <v>286</v>
      </c>
    </row>
    <row r="11" spans="1:3" x14ac:dyDescent="0.35">
      <c r="A11">
        <v>10</v>
      </c>
      <c r="B11" t="s">
        <v>287</v>
      </c>
      <c r="C11" t="s">
        <v>288</v>
      </c>
    </row>
    <row r="12" spans="1:3" x14ac:dyDescent="0.35">
      <c r="A12">
        <v>11</v>
      </c>
      <c r="B12" t="s">
        <v>289</v>
      </c>
      <c r="C12" t="s">
        <v>290</v>
      </c>
    </row>
    <row r="13" spans="1:3" x14ac:dyDescent="0.35">
      <c r="A13">
        <v>12</v>
      </c>
      <c r="B13" t="s">
        <v>291</v>
      </c>
      <c r="C13" t="s">
        <v>292</v>
      </c>
    </row>
    <row r="14" spans="1:3" x14ac:dyDescent="0.35">
      <c r="A14">
        <v>13</v>
      </c>
      <c r="B14" t="s">
        <v>293</v>
      </c>
      <c r="C14" t="s">
        <v>294</v>
      </c>
    </row>
    <row r="15" spans="1:3" x14ac:dyDescent="0.35">
      <c r="A15">
        <v>14</v>
      </c>
      <c r="B15" t="s">
        <v>295</v>
      </c>
      <c r="C15" t="s">
        <v>296</v>
      </c>
    </row>
    <row r="16" spans="1:3" x14ac:dyDescent="0.35">
      <c r="A16">
        <v>15</v>
      </c>
      <c r="B16" t="s">
        <v>297</v>
      </c>
      <c r="C16" t="s">
        <v>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96B4-18FF-49F5-A67F-EDE74F319EF0}">
  <dimension ref="A1:K28"/>
  <sheetViews>
    <sheetView topLeftCell="A9" workbookViewId="0">
      <selection activeCell="F17" sqref="F17"/>
    </sheetView>
  </sheetViews>
  <sheetFormatPr defaultRowHeight="14.5" x14ac:dyDescent="0.35"/>
  <sheetData>
    <row r="1" spans="1:11" ht="29" x14ac:dyDescent="0.35">
      <c r="A1" s="1" t="s">
        <v>13</v>
      </c>
      <c r="B1" s="1" t="s">
        <v>14</v>
      </c>
      <c r="C1" s="1" t="s">
        <v>15</v>
      </c>
      <c r="D1" s="1" t="s">
        <v>16</v>
      </c>
      <c r="G1" s="1" t="s">
        <v>13</v>
      </c>
      <c r="H1" s="1" t="s">
        <v>1</v>
      </c>
      <c r="J1" s="1" t="s">
        <v>13</v>
      </c>
      <c r="K1" s="1" t="s">
        <v>1</v>
      </c>
    </row>
    <row r="2" spans="1:11" x14ac:dyDescent="0.35">
      <c r="A2" s="2">
        <v>45383</v>
      </c>
      <c r="B2" s="3">
        <v>3.58</v>
      </c>
      <c r="C2" s="3">
        <v>11.4</v>
      </c>
      <c r="D2" s="3">
        <v>14.98</v>
      </c>
      <c r="G2" s="2">
        <v>45383</v>
      </c>
      <c r="H2" s="3">
        <v>20</v>
      </c>
      <c r="J2" s="2">
        <v>45748</v>
      </c>
      <c r="K2" s="3">
        <v>21</v>
      </c>
    </row>
    <row r="3" spans="1:11" x14ac:dyDescent="0.35">
      <c r="A3" s="2">
        <v>45413</v>
      </c>
      <c r="B3" s="3">
        <v>3.62</v>
      </c>
      <c r="C3" s="3">
        <v>11.7</v>
      </c>
      <c r="D3" s="3">
        <v>15.32</v>
      </c>
      <c r="G3" s="2">
        <v>45413</v>
      </c>
      <c r="H3" s="3">
        <v>22</v>
      </c>
      <c r="J3" s="2">
        <v>45778</v>
      </c>
      <c r="K3" s="3">
        <v>22</v>
      </c>
    </row>
    <row r="4" spans="1:11" x14ac:dyDescent="0.35">
      <c r="A4" s="2">
        <v>45444</v>
      </c>
      <c r="B4" s="3">
        <v>3.66</v>
      </c>
      <c r="C4" s="3">
        <v>12</v>
      </c>
      <c r="D4" s="3">
        <v>15.66</v>
      </c>
      <c r="G4" s="2">
        <v>45444</v>
      </c>
      <c r="H4" s="3">
        <v>20</v>
      </c>
      <c r="J4" s="2">
        <v>45809</v>
      </c>
      <c r="K4" s="3">
        <v>20</v>
      </c>
    </row>
    <row r="5" spans="1:11" x14ac:dyDescent="0.35">
      <c r="A5" s="2">
        <v>45474</v>
      </c>
      <c r="B5" s="3">
        <v>3.7</v>
      </c>
      <c r="C5" s="3">
        <v>12.5</v>
      </c>
      <c r="D5" s="3">
        <v>16.2</v>
      </c>
      <c r="G5" s="2">
        <v>45474</v>
      </c>
      <c r="H5" s="3">
        <v>23</v>
      </c>
      <c r="J5" s="2">
        <v>45839</v>
      </c>
      <c r="K5" s="3">
        <v>23</v>
      </c>
    </row>
    <row r="6" spans="1:11" x14ac:dyDescent="0.35">
      <c r="A6" s="2">
        <v>45505</v>
      </c>
      <c r="B6" s="3">
        <v>3.76</v>
      </c>
      <c r="C6" s="3">
        <v>13.34</v>
      </c>
      <c r="D6" s="3">
        <v>17.100000000000001</v>
      </c>
      <c r="G6" s="2">
        <v>45505</v>
      </c>
      <c r="H6" s="3">
        <v>22</v>
      </c>
      <c r="J6" s="2">
        <v>45870</v>
      </c>
      <c r="K6" s="3">
        <v>21</v>
      </c>
    </row>
    <row r="7" spans="1:11" x14ac:dyDescent="0.35">
      <c r="A7" s="2">
        <v>45536</v>
      </c>
      <c r="B7" s="3">
        <v>3.8</v>
      </c>
      <c r="C7" s="3">
        <v>13.8</v>
      </c>
      <c r="D7" s="3">
        <v>17.600000000000001</v>
      </c>
      <c r="G7" s="2">
        <v>45536</v>
      </c>
      <c r="H7" s="3">
        <v>20</v>
      </c>
      <c r="J7" s="2">
        <v>45901</v>
      </c>
      <c r="K7" s="3">
        <v>21</v>
      </c>
    </row>
    <row r="8" spans="1:11" x14ac:dyDescent="0.35">
      <c r="A8" s="2">
        <v>45566</v>
      </c>
      <c r="B8" s="3">
        <v>3.84</v>
      </c>
      <c r="C8" s="3">
        <v>14.2</v>
      </c>
      <c r="D8" s="3">
        <v>18.04</v>
      </c>
      <c r="G8" s="2">
        <v>45566</v>
      </c>
      <c r="H8" s="3">
        <v>21</v>
      </c>
      <c r="J8" s="2">
        <v>45931</v>
      </c>
      <c r="K8" s="3">
        <v>22</v>
      </c>
    </row>
    <row r="9" spans="1:11" x14ac:dyDescent="0.35">
      <c r="A9" s="2">
        <v>45597</v>
      </c>
      <c r="B9" s="3">
        <v>3.88</v>
      </c>
      <c r="C9" s="3">
        <v>14.7</v>
      </c>
      <c r="D9" s="3">
        <v>18.579999999999998</v>
      </c>
      <c r="G9" s="2">
        <v>45597</v>
      </c>
      <c r="H9" s="3">
        <v>19</v>
      </c>
      <c r="J9" s="2">
        <v>45962</v>
      </c>
      <c r="K9" s="3">
        <v>19</v>
      </c>
    </row>
    <row r="10" spans="1:11" x14ac:dyDescent="0.35">
      <c r="A10" s="2">
        <v>45627</v>
      </c>
      <c r="B10" s="3">
        <v>3.9</v>
      </c>
      <c r="C10" s="3">
        <v>15</v>
      </c>
      <c r="D10" s="3">
        <v>18.899999999999999</v>
      </c>
      <c r="G10" s="2">
        <v>45627</v>
      </c>
      <c r="H10" s="3">
        <v>21</v>
      </c>
      <c r="J10" s="2">
        <v>45992</v>
      </c>
      <c r="K10" s="3">
        <v>22</v>
      </c>
    </row>
    <row r="11" spans="1:11" x14ac:dyDescent="0.35">
      <c r="A11" s="2">
        <v>45658</v>
      </c>
      <c r="B11" s="3">
        <v>3.92</v>
      </c>
      <c r="C11" s="3">
        <v>15.1</v>
      </c>
      <c r="D11" s="3">
        <v>19.02</v>
      </c>
      <c r="G11" s="2">
        <v>45658</v>
      </c>
      <c r="H11" s="3">
        <v>22</v>
      </c>
      <c r="J11" s="2">
        <v>46023</v>
      </c>
      <c r="K11" s="3">
        <v>22</v>
      </c>
    </row>
    <row r="12" spans="1:11" x14ac:dyDescent="0.35">
      <c r="A12" s="2">
        <v>45689</v>
      </c>
      <c r="B12" s="3">
        <v>3.93</v>
      </c>
      <c r="C12" s="3">
        <v>15.13</v>
      </c>
      <c r="D12" s="3">
        <v>19.059999999999999</v>
      </c>
      <c r="G12" s="2">
        <v>45689</v>
      </c>
      <c r="H12" s="3">
        <v>20</v>
      </c>
      <c r="J12" s="2">
        <v>46054</v>
      </c>
      <c r="K12" s="3">
        <v>20</v>
      </c>
    </row>
    <row r="13" spans="1:11" x14ac:dyDescent="0.35">
      <c r="A13" s="4">
        <v>45717</v>
      </c>
      <c r="B13" s="5">
        <v>3.95</v>
      </c>
      <c r="C13" s="5">
        <v>15.3</v>
      </c>
      <c r="D13" s="5">
        <v>19.239999999999998</v>
      </c>
      <c r="G13" s="2">
        <v>45717</v>
      </c>
      <c r="H13" s="3">
        <v>21</v>
      </c>
      <c r="J13" s="2">
        <v>46082</v>
      </c>
      <c r="K13" s="3">
        <v>21</v>
      </c>
    </row>
    <row r="16" spans="1:11" x14ac:dyDescent="0.35">
      <c r="A16" s="1" t="s">
        <v>13</v>
      </c>
      <c r="B16" s="1" t="s">
        <v>14</v>
      </c>
      <c r="C16" s="1" t="s">
        <v>15</v>
      </c>
      <c r="D16" s="1" t="s">
        <v>16</v>
      </c>
    </row>
    <row r="17" spans="1:4" x14ac:dyDescent="0.35">
      <c r="A17" s="2">
        <v>45748</v>
      </c>
      <c r="B17" s="3">
        <v>3.98</v>
      </c>
      <c r="C17" s="3">
        <v>15.6</v>
      </c>
      <c r="D17" s="3">
        <v>19.579999999999998</v>
      </c>
    </row>
    <row r="18" spans="1:4" x14ac:dyDescent="0.35">
      <c r="A18" s="2">
        <v>45778</v>
      </c>
      <c r="B18" s="3">
        <v>4.0199999999999996</v>
      </c>
      <c r="C18" s="3">
        <v>15.9</v>
      </c>
      <c r="D18" s="3">
        <v>19.920000000000002</v>
      </c>
    </row>
    <row r="19" spans="1:4" x14ac:dyDescent="0.35">
      <c r="A19" s="2">
        <v>45809</v>
      </c>
      <c r="B19" s="3">
        <v>4.05</v>
      </c>
      <c r="C19" s="3">
        <v>16.05</v>
      </c>
      <c r="D19" s="3">
        <v>20.100000000000001</v>
      </c>
    </row>
    <row r="20" spans="1:4" x14ac:dyDescent="0.35">
      <c r="A20" s="4">
        <v>45839</v>
      </c>
      <c r="B20" s="5">
        <v>4.0999999999999996</v>
      </c>
      <c r="C20" s="5">
        <v>16.100000000000001</v>
      </c>
      <c r="D20" s="5">
        <v>20.2</v>
      </c>
    </row>
    <row r="21" spans="1:4" x14ac:dyDescent="0.35">
      <c r="A21" s="2">
        <v>45870</v>
      </c>
      <c r="B21" s="3">
        <v>4.1500000000000004</v>
      </c>
      <c r="C21" s="3">
        <v>16.5</v>
      </c>
      <c r="D21" s="3">
        <v>20.65</v>
      </c>
    </row>
    <row r="22" spans="1:4" x14ac:dyDescent="0.35">
      <c r="A22" s="2">
        <v>45901</v>
      </c>
      <c r="B22" s="3">
        <v>4.2</v>
      </c>
      <c r="C22" s="3">
        <v>16.899999999999999</v>
      </c>
      <c r="D22" s="3">
        <v>21.1</v>
      </c>
    </row>
    <row r="23" spans="1:4" x14ac:dyDescent="0.35">
      <c r="A23" s="2">
        <v>45931</v>
      </c>
      <c r="B23" s="5">
        <v>4.2</v>
      </c>
      <c r="C23" s="5">
        <v>16.8</v>
      </c>
      <c r="D23" s="5">
        <v>21</v>
      </c>
    </row>
    <row r="24" spans="1:4" x14ac:dyDescent="0.35">
      <c r="A24" s="2">
        <v>45962</v>
      </c>
      <c r="B24" s="3">
        <v>4.25</v>
      </c>
      <c r="C24" s="3">
        <v>17.100000000000001</v>
      </c>
      <c r="D24" s="3">
        <v>21.35</v>
      </c>
    </row>
    <row r="25" spans="1:4" x14ac:dyDescent="0.35">
      <c r="A25" s="2">
        <v>45992</v>
      </c>
      <c r="B25" s="5">
        <v>4.3</v>
      </c>
      <c r="C25" s="5">
        <v>17.3</v>
      </c>
      <c r="D25" s="5">
        <v>21.6</v>
      </c>
    </row>
    <row r="26" spans="1:4" x14ac:dyDescent="0.35">
      <c r="A26" s="2">
        <v>46023</v>
      </c>
      <c r="B26" s="3">
        <v>4.3600000000000003</v>
      </c>
      <c r="C26" s="3">
        <v>17.600000000000001</v>
      </c>
      <c r="D26" s="3">
        <v>21.96</v>
      </c>
    </row>
    <row r="27" spans="1:4" x14ac:dyDescent="0.35">
      <c r="A27" s="2">
        <v>46054</v>
      </c>
      <c r="B27" s="3">
        <v>4.4000000000000004</v>
      </c>
      <c r="C27" s="3">
        <v>17.850000000000001</v>
      </c>
      <c r="D27" s="3">
        <v>22.25</v>
      </c>
    </row>
    <row r="28" spans="1:4" x14ac:dyDescent="0.35">
      <c r="A28" s="4">
        <v>46082</v>
      </c>
      <c r="B28" s="5">
        <v>4.43</v>
      </c>
      <c r="C28" s="5">
        <v>18.02</v>
      </c>
      <c r="D28" s="5">
        <v>22.45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Broking data</vt:lpstr>
      <vt:lpstr>MF &amp; SIF Data</vt:lpstr>
      <vt:lpstr>NSE active client data</vt:lpstr>
      <vt:lpstr>PMS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Prabal Selwadiya</dc:creator>
  <cp:lastModifiedBy>Siddhant Sawant</cp:lastModifiedBy>
  <dcterms:created xsi:type="dcterms:W3CDTF">2026-04-27T10:10:29Z</dcterms:created>
  <dcterms:modified xsi:type="dcterms:W3CDTF">2026-10-12T09:45:21Z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6212d9-442e-4bc2-bf33-70c7c4639fec_Enabled">
    <vt:lpwstr>true</vt:lpwstr>
  </property>
  <property fmtid="{D5CDD505-2E9C-101B-9397-08002B2CF9AE}" pid="3" name="MSIP_Label_766212d9-442e-4bc2-bf33-70c7c4639fec_SetDate">
    <vt:lpwstr>2026-04-27T10:10:32Z</vt:lpwstr>
  </property>
  <property fmtid="{D5CDD505-2E9C-101B-9397-08002B2CF9AE}" pid="4" name="MSIP_Label_766212d9-442e-4bc2-bf33-70c7c4639fec_Method">
    <vt:lpwstr>Standard</vt:lpwstr>
  </property>
  <property fmtid="{D5CDD505-2E9C-101B-9397-08002B2CF9AE}" pid="5" name="MSIP_Label_766212d9-442e-4bc2-bf33-70c7c4639fec_Name">
    <vt:lpwstr>Internal</vt:lpwstr>
  </property>
  <property fmtid="{D5CDD505-2E9C-101B-9397-08002B2CF9AE}" pid="6" name="MSIP_Label_766212d9-442e-4bc2-bf33-70c7c4639fec_SiteId">
    <vt:lpwstr>eb58ee03-bd10-49c4-94cd-70cb086d197b</vt:lpwstr>
  </property>
  <property fmtid="{D5CDD505-2E9C-101B-9397-08002B2CF9AE}" pid="7" name="MSIP_Label_766212d9-442e-4bc2-bf33-70c7c4639fec_ActionId">
    <vt:lpwstr>9837e51e-83d8-487a-bc98-ee817b05fbcd</vt:lpwstr>
  </property>
  <property fmtid="{D5CDD505-2E9C-101B-9397-08002B2CF9AE}" pid="8" name="MSIP_Label_766212d9-442e-4bc2-bf33-70c7c4639fec_ContentBits">
    <vt:lpwstr>2</vt:lpwstr>
  </property>
  <property fmtid="{D5CDD505-2E9C-101B-9397-08002B2CF9AE}" pid="9" name="MSIP_Label_766212d9-442e-4bc2-bf33-70c7c4639fec_Tag">
    <vt:lpwstr>10, 3, 0, 1</vt:lpwstr>
  </property>
</Properties>
</file>